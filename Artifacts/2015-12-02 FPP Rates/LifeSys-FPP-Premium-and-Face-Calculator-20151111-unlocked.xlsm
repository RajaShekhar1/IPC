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6423"/>
  <workbookPr codeName="ThisWorkbook" autoCompressPictures="0"/>
  <bookViews>
    <workbookView xWindow="0" yWindow="60" windowWidth="33480" windowHeight="16340"/>
  </bookViews>
  <sheets>
    <sheet name="LifeSys Modal Premium Table" sheetId="4" r:id="rId1"/>
    <sheet name="LifeSys Face Amount Table" sheetId="7" r:id="rId2"/>
    <sheet name="Premium Calculator" sheetId="9" r:id="rId3"/>
    <sheet name="Face Calculator" sheetId="10" r:id="rId4"/>
    <sheet name="Rates" sheetId="5" r:id="rId5"/>
    <sheet name="Premium Levels" sheetId="11" r:id="rId6"/>
  </sheets>
  <definedNames>
    <definedName name="Annually">'Premium Levels'!$A$4:$A$20</definedName>
    <definedName name="Biweekly">'Premium Levels'!$H$4:$H$20</definedName>
    <definedName name="mode" localSheetId="3">'Face Calculator'!$C$2</definedName>
    <definedName name="mode" localSheetId="0">'LifeSys Modal Premium Table'!$C$2</definedName>
    <definedName name="mode" localSheetId="2">'Premium Calculator'!$C$2</definedName>
    <definedName name="mode">'LifeSys Face Amount Table'!$C$2</definedName>
    <definedName name="Monthly">'Premium Levels'!$E$4:$E$20</definedName>
    <definedName name="Plan" localSheetId="3">'Face Calculator'!$C$1</definedName>
    <definedName name="Plan" localSheetId="1">'LifeSys Face Amount Table'!$C$1</definedName>
    <definedName name="Plan" localSheetId="0">'LifeSys Modal Premium Table'!$C$1</definedName>
    <definedName name="Plan" localSheetId="2">'Premium Calculator'!$C$1</definedName>
    <definedName name="PremiumRate">Rates!$F$4:$O$74</definedName>
    <definedName name="PremiumRatekey">Rates!$G$2:$O$2</definedName>
    <definedName name="QualityofLifeRiderRate">Rates!$V$4:$W$51</definedName>
    <definedName name="Quarterly">'Premium Levels'!$C$4:$C$20</definedName>
    <definedName name="RiderRatekey">Rates!$W$2</definedName>
    <definedName name="Semiannually">'Premium Levels'!$B$4:$B$20</definedName>
    <definedName name="SemiMonthly">'Premium Levels'!$G$4:$G$20</definedName>
    <definedName name="Table">Rates!$A$2:$D$43</definedName>
    <definedName name="WaiverOfPremiumRate">Rates!$Q$4:$T$41</definedName>
    <definedName name="Weekly">'Premium Levels'!$I$4:$I$20</definedName>
    <definedName name="WOPRatekey">Rates!$R$2:$T$2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7" l="1"/>
  <c r="C23" i="7"/>
  <c r="D23" i="7"/>
  <c r="B24" i="7"/>
  <c r="I3" i="7"/>
  <c r="E24" i="7"/>
  <c r="C24" i="7"/>
  <c r="D24" i="7"/>
  <c r="I24" i="7"/>
  <c r="A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A20" i="7"/>
  <c r="B20" i="7"/>
  <c r="A21" i="7"/>
  <c r="B21" i="7"/>
  <c r="A22" i="7"/>
  <c r="B22" i="7"/>
  <c r="A23" i="7"/>
  <c r="A24" i="7"/>
  <c r="A25" i="7"/>
  <c r="B25" i="7"/>
  <c r="A26" i="7"/>
  <c r="B26" i="7"/>
  <c r="A27" i="7"/>
  <c r="B27" i="7"/>
  <c r="A28" i="7"/>
  <c r="B28" i="7"/>
  <c r="A29" i="7"/>
  <c r="B29" i="7"/>
  <c r="A30" i="7"/>
  <c r="B30" i="7"/>
  <c r="A31" i="7"/>
  <c r="B31" i="7"/>
  <c r="A32" i="7"/>
  <c r="B32" i="7"/>
  <c r="A33" i="7"/>
  <c r="B33" i="7"/>
  <c r="A34" i="7"/>
  <c r="B34" i="7"/>
  <c r="A35" i="7"/>
  <c r="B35" i="7"/>
  <c r="A36" i="7"/>
  <c r="B36" i="7"/>
  <c r="A37" i="7"/>
  <c r="B37" i="7"/>
  <c r="A38" i="7"/>
  <c r="B38" i="7"/>
  <c r="A39" i="7"/>
  <c r="B39" i="7"/>
  <c r="A40" i="7"/>
  <c r="B40" i="7"/>
  <c r="A41" i="7"/>
  <c r="B41" i="7"/>
  <c r="A42" i="7"/>
  <c r="B42" i="7"/>
  <c r="A43" i="7"/>
  <c r="B43" i="7"/>
  <c r="A44" i="7"/>
  <c r="B44" i="7"/>
  <c r="A45" i="7"/>
  <c r="B45" i="7"/>
  <c r="A46" i="7"/>
  <c r="B46" i="7"/>
  <c r="A47" i="7"/>
  <c r="B47" i="7"/>
  <c r="A48" i="7"/>
  <c r="B48" i="7"/>
  <c r="A49" i="7"/>
  <c r="B49" i="7"/>
  <c r="A50" i="7"/>
  <c r="B50" i="7"/>
  <c r="A51" i="7"/>
  <c r="B51" i="7"/>
  <c r="A52" i="7"/>
  <c r="B52" i="7"/>
  <c r="A53" i="7"/>
  <c r="B53" i="7"/>
  <c r="A54" i="7"/>
  <c r="B54" i="7"/>
  <c r="A55" i="7"/>
  <c r="B55" i="7"/>
  <c r="A56" i="7"/>
  <c r="B56" i="7"/>
  <c r="A57" i="7"/>
  <c r="B57" i="7"/>
  <c r="A58" i="7"/>
  <c r="B58" i="7"/>
  <c r="A59" i="7"/>
  <c r="B59" i="7"/>
  <c r="B7" i="7"/>
  <c r="A7" i="4"/>
  <c r="A8" i="4"/>
  <c r="B8" i="4"/>
  <c r="A9" i="4"/>
  <c r="B9" i="4"/>
  <c r="A10" i="4"/>
  <c r="B10" i="4"/>
  <c r="A11" i="4"/>
  <c r="B11" i="4"/>
  <c r="A12" i="4"/>
  <c r="B12" i="4"/>
  <c r="A13" i="4"/>
  <c r="B13" i="4"/>
  <c r="A14" i="4"/>
  <c r="B14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26" i="4"/>
  <c r="B26" i="4"/>
  <c r="A27" i="4"/>
  <c r="B27" i="4"/>
  <c r="A28" i="4"/>
  <c r="B28" i="4"/>
  <c r="A29" i="4"/>
  <c r="B29" i="4"/>
  <c r="A30" i="4"/>
  <c r="B30" i="4"/>
  <c r="A31" i="4"/>
  <c r="B31" i="4"/>
  <c r="A32" i="4"/>
  <c r="B32" i="4"/>
  <c r="A33" i="4"/>
  <c r="B33" i="4"/>
  <c r="A34" i="4"/>
  <c r="B34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44" i="4"/>
  <c r="B44" i="4"/>
  <c r="A45" i="4"/>
  <c r="B45" i="4"/>
  <c r="A46" i="4"/>
  <c r="B46" i="4"/>
  <c r="A47" i="4"/>
  <c r="B47" i="4"/>
  <c r="A48" i="4"/>
  <c r="B48" i="4"/>
  <c r="A49" i="4"/>
  <c r="B49" i="4"/>
  <c r="A50" i="4"/>
  <c r="B50" i="4"/>
  <c r="A51" i="4"/>
  <c r="B51" i="4"/>
  <c r="A52" i="4"/>
  <c r="B52" i="4"/>
  <c r="A53" i="4"/>
  <c r="B53" i="4"/>
  <c r="A54" i="4"/>
  <c r="B54" i="4"/>
  <c r="A55" i="4"/>
  <c r="B55" i="4"/>
  <c r="A56" i="4"/>
  <c r="B56" i="4"/>
  <c r="A57" i="4"/>
  <c r="B57" i="4"/>
  <c r="A58" i="4"/>
  <c r="B58" i="4"/>
  <c r="A59" i="4"/>
  <c r="B59" i="4"/>
  <c r="B7" i="4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7" i="7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7" i="4"/>
  <c r="C6" i="10"/>
  <c r="C9" i="10"/>
  <c r="C10" i="10"/>
  <c r="C8" i="10"/>
  <c r="C9" i="9"/>
  <c r="C10" i="9"/>
  <c r="C8" i="9"/>
  <c r="C6" i="9"/>
  <c r="C11" i="9"/>
  <c r="C11" i="10"/>
  <c r="D4" i="4"/>
  <c r="D3" i="4"/>
  <c r="D4" i="7"/>
  <c r="D3" i="7"/>
  <c r="F3" i="7"/>
  <c r="S3" i="7"/>
  <c r="T3" i="7"/>
  <c r="U3" i="7"/>
  <c r="V3" i="7"/>
  <c r="N3" i="7"/>
  <c r="O3" i="7"/>
  <c r="P3" i="7"/>
  <c r="Q3" i="7"/>
  <c r="R3" i="7"/>
  <c r="G3" i="7"/>
  <c r="H3" i="7"/>
  <c r="J3" i="7"/>
  <c r="K3" i="7"/>
  <c r="L3" i="7"/>
  <c r="M3" i="7"/>
  <c r="S7" i="7"/>
  <c r="O7" i="7"/>
  <c r="R7" i="7"/>
  <c r="T7" i="7"/>
  <c r="V7" i="7"/>
  <c r="C7" i="7"/>
  <c r="Q7" i="7"/>
  <c r="P7" i="7"/>
  <c r="U7" i="7"/>
  <c r="D7" i="7"/>
  <c r="C7" i="4"/>
  <c r="D7" i="4"/>
  <c r="M7" i="7"/>
  <c r="L7" i="7"/>
  <c r="N7" i="7"/>
  <c r="F7" i="7"/>
  <c r="G7" i="7"/>
  <c r="S8" i="7"/>
  <c r="R8" i="7"/>
  <c r="U8" i="7"/>
  <c r="P8" i="7"/>
  <c r="D8" i="7"/>
  <c r="C8" i="7"/>
  <c r="V8" i="7"/>
  <c r="O8" i="7"/>
  <c r="T8" i="7"/>
  <c r="Q8" i="7"/>
  <c r="K7" i="7"/>
  <c r="J7" i="7"/>
  <c r="H7" i="7"/>
  <c r="I7" i="7"/>
  <c r="Q7" i="4"/>
  <c r="O7" i="4"/>
  <c r="M8" i="7"/>
  <c r="V7" i="4"/>
  <c r="F7" i="4"/>
  <c r="N7" i="4"/>
  <c r="T7" i="4"/>
  <c r="R7" i="4"/>
  <c r="I7" i="4"/>
  <c r="L7" i="4"/>
  <c r="C8" i="4"/>
  <c r="D8" i="4"/>
  <c r="G7" i="4"/>
  <c r="P7" i="4"/>
  <c r="M7" i="4"/>
  <c r="K7" i="4"/>
  <c r="H7" i="4"/>
  <c r="J7" i="4"/>
  <c r="S7" i="4"/>
  <c r="U7" i="4"/>
  <c r="F8" i="7"/>
  <c r="J8" i="7"/>
  <c r="N8" i="7"/>
  <c r="G8" i="7"/>
  <c r="U9" i="7"/>
  <c r="C9" i="7"/>
  <c r="Q9" i="7"/>
  <c r="D9" i="7"/>
  <c r="V9" i="7"/>
  <c r="S9" i="7"/>
  <c r="T9" i="7"/>
  <c r="R9" i="7"/>
  <c r="O9" i="7"/>
  <c r="P9" i="7"/>
  <c r="L8" i="7"/>
  <c r="K8" i="7"/>
  <c r="H8" i="7"/>
  <c r="I8" i="7"/>
  <c r="N9" i="7"/>
  <c r="R8" i="4"/>
  <c r="H9" i="7"/>
  <c r="J8" i="4"/>
  <c r="O8" i="4"/>
  <c r="S8" i="4"/>
  <c r="H8" i="4"/>
  <c r="N8" i="4"/>
  <c r="C9" i="4"/>
  <c r="D9" i="4"/>
  <c r="V8" i="4"/>
  <c r="I8" i="4"/>
  <c r="L8" i="4"/>
  <c r="G8" i="4"/>
  <c r="M8" i="4"/>
  <c r="Q8" i="4"/>
  <c r="U8" i="4"/>
  <c r="T8" i="4"/>
  <c r="P8" i="4"/>
  <c r="K8" i="4"/>
  <c r="F8" i="4"/>
  <c r="K9" i="7"/>
  <c r="G9" i="7"/>
  <c r="I9" i="7"/>
  <c r="J9" i="7"/>
  <c r="V10" i="7"/>
  <c r="P10" i="7"/>
  <c r="D10" i="7"/>
  <c r="T10" i="7"/>
  <c r="O10" i="7"/>
  <c r="Q10" i="7"/>
  <c r="U10" i="7"/>
  <c r="C10" i="7"/>
  <c r="R10" i="7"/>
  <c r="S10" i="7"/>
  <c r="M9" i="7"/>
  <c r="L9" i="7"/>
  <c r="F9" i="7"/>
  <c r="S9" i="4"/>
  <c r="J10" i="7"/>
  <c r="I9" i="4"/>
  <c r="H10" i="7"/>
  <c r="Q9" i="4"/>
  <c r="N9" i="4"/>
  <c r="F9" i="4"/>
  <c r="D10" i="4"/>
  <c r="C10" i="4"/>
  <c r="P9" i="4"/>
  <c r="G9" i="4"/>
  <c r="O9" i="4"/>
  <c r="K9" i="4"/>
  <c r="M9" i="4"/>
  <c r="T9" i="4"/>
  <c r="L9" i="4"/>
  <c r="V9" i="4"/>
  <c r="H9" i="4"/>
  <c r="U9" i="4"/>
  <c r="R9" i="4"/>
  <c r="J9" i="4"/>
  <c r="I10" i="7"/>
  <c r="G10" i="7"/>
  <c r="D11" i="7"/>
  <c r="U11" i="7"/>
  <c r="V11" i="7"/>
  <c r="P11" i="7"/>
  <c r="Q11" i="7"/>
  <c r="C11" i="7"/>
  <c r="T11" i="7"/>
  <c r="S11" i="7"/>
  <c r="R11" i="7"/>
  <c r="O11" i="7"/>
  <c r="N10" i="7"/>
  <c r="M10" i="7"/>
  <c r="F10" i="7"/>
  <c r="L10" i="7"/>
  <c r="K10" i="7"/>
  <c r="K10" i="4"/>
  <c r="S10" i="4"/>
  <c r="L11" i="7"/>
  <c r="R10" i="4"/>
  <c r="V10" i="4"/>
  <c r="H10" i="4"/>
  <c r="P10" i="4"/>
  <c r="T10" i="4"/>
  <c r="L10" i="4"/>
  <c r="G10" i="4"/>
  <c r="Q10" i="4"/>
  <c r="F10" i="4"/>
  <c r="J10" i="4"/>
  <c r="O10" i="4"/>
  <c r="I10" i="4"/>
  <c r="C11" i="4"/>
  <c r="D11" i="4"/>
  <c r="N10" i="4"/>
  <c r="U10" i="4"/>
  <c r="M10" i="4"/>
  <c r="N11" i="7"/>
  <c r="J11" i="7"/>
  <c r="G11" i="7"/>
  <c r="M11" i="7"/>
  <c r="T12" i="7"/>
  <c r="R12" i="7"/>
  <c r="Q12" i="7"/>
  <c r="O12" i="7"/>
  <c r="V12" i="7"/>
  <c r="S12" i="7"/>
  <c r="P12" i="7"/>
  <c r="U12" i="7"/>
  <c r="D12" i="7"/>
  <c r="C12" i="7"/>
  <c r="H11" i="7"/>
  <c r="F11" i="7"/>
  <c r="K11" i="7"/>
  <c r="I11" i="7"/>
  <c r="S11" i="4"/>
  <c r="I12" i="7"/>
  <c r="H11" i="4"/>
  <c r="Q11" i="4"/>
  <c r="V11" i="4"/>
  <c r="J11" i="4"/>
  <c r="C12" i="4"/>
  <c r="D12" i="4"/>
  <c r="T11" i="4"/>
  <c r="L11" i="4"/>
  <c r="K11" i="4"/>
  <c r="O11" i="4"/>
  <c r="G11" i="4"/>
  <c r="M11" i="4"/>
  <c r="N11" i="4"/>
  <c r="F11" i="4"/>
  <c r="U11" i="4"/>
  <c r="R11" i="4"/>
  <c r="P11" i="4"/>
  <c r="I11" i="4"/>
  <c r="M12" i="7"/>
  <c r="J12" i="7"/>
  <c r="N12" i="7"/>
  <c r="L12" i="7"/>
  <c r="O13" i="7"/>
  <c r="Q13" i="7"/>
  <c r="V13" i="7"/>
  <c r="T13" i="7"/>
  <c r="U13" i="7"/>
  <c r="C13" i="7"/>
  <c r="R13" i="7"/>
  <c r="S13" i="7"/>
  <c r="D13" i="7"/>
  <c r="P13" i="7"/>
  <c r="H12" i="7"/>
  <c r="G12" i="7"/>
  <c r="F12" i="7"/>
  <c r="K12" i="7"/>
  <c r="H12" i="4"/>
  <c r="J13" i="7"/>
  <c r="N12" i="4"/>
  <c r="I12" i="4"/>
  <c r="L12" i="4"/>
  <c r="M12" i="4"/>
  <c r="D13" i="4"/>
  <c r="C13" i="4"/>
  <c r="G12" i="4"/>
  <c r="S12" i="4"/>
  <c r="Q12" i="4"/>
  <c r="R12" i="4"/>
  <c r="J12" i="4"/>
  <c r="V12" i="4"/>
  <c r="T12" i="4"/>
  <c r="P12" i="4"/>
  <c r="F12" i="4"/>
  <c r="U12" i="4"/>
  <c r="K12" i="4"/>
  <c r="O12" i="4"/>
  <c r="K13" i="7"/>
  <c r="Q14" i="7"/>
  <c r="S14" i="7"/>
  <c r="C14" i="7"/>
  <c r="U14" i="7"/>
  <c r="T14" i="7"/>
  <c r="D14" i="7"/>
  <c r="P14" i="7"/>
  <c r="O14" i="7"/>
  <c r="V14" i="7"/>
  <c r="R14" i="7"/>
  <c r="H13" i="7"/>
  <c r="I13" i="7"/>
  <c r="G13" i="7"/>
  <c r="L13" i="7"/>
  <c r="M13" i="7"/>
  <c r="N13" i="7"/>
  <c r="F13" i="7"/>
  <c r="I14" i="7"/>
  <c r="N13" i="4"/>
  <c r="S13" i="4"/>
  <c r="K14" i="7"/>
  <c r="R13" i="4"/>
  <c r="G13" i="4"/>
  <c r="J13" i="4"/>
  <c r="D14" i="4"/>
  <c r="C14" i="4"/>
  <c r="P13" i="4"/>
  <c r="H13" i="4"/>
  <c r="M13" i="4"/>
  <c r="K13" i="4"/>
  <c r="Q13" i="4"/>
  <c r="U13" i="4"/>
  <c r="T13" i="4"/>
  <c r="V13" i="4"/>
  <c r="F13" i="4"/>
  <c r="I13" i="4"/>
  <c r="L13" i="4"/>
  <c r="O13" i="4"/>
  <c r="N14" i="7"/>
  <c r="F14" i="7"/>
  <c r="M14" i="7"/>
  <c r="G14" i="7"/>
  <c r="L14" i="7"/>
  <c r="O15" i="7"/>
  <c r="V15" i="7"/>
  <c r="R15" i="7"/>
  <c r="U15" i="7"/>
  <c r="Q15" i="7"/>
  <c r="C15" i="7"/>
  <c r="P15" i="7"/>
  <c r="D15" i="7"/>
  <c r="T15" i="7"/>
  <c r="S15" i="7"/>
  <c r="H14" i="7"/>
  <c r="J14" i="7"/>
  <c r="J14" i="4"/>
  <c r="V14" i="4"/>
  <c r="M15" i="7"/>
  <c r="K14" i="4"/>
  <c r="F14" i="4"/>
  <c r="G14" i="4"/>
  <c r="C15" i="4"/>
  <c r="D15" i="4"/>
  <c r="I14" i="4"/>
  <c r="P14" i="4"/>
  <c r="N14" i="4"/>
  <c r="L14" i="4"/>
  <c r="H14" i="4"/>
  <c r="M14" i="4"/>
  <c r="O14" i="4"/>
  <c r="Q14" i="4"/>
  <c r="U14" i="4"/>
  <c r="S14" i="4"/>
  <c r="T14" i="4"/>
  <c r="R14" i="4"/>
  <c r="N15" i="7"/>
  <c r="G15" i="7"/>
  <c r="T16" i="7"/>
  <c r="V16" i="7"/>
  <c r="C16" i="7"/>
  <c r="P16" i="7"/>
  <c r="Q16" i="7"/>
  <c r="U16" i="7"/>
  <c r="O16" i="7"/>
  <c r="D16" i="7"/>
  <c r="R16" i="7"/>
  <c r="S16" i="7"/>
  <c r="H15" i="7"/>
  <c r="J15" i="7"/>
  <c r="F15" i="7"/>
  <c r="K15" i="7"/>
  <c r="I15" i="7"/>
  <c r="L15" i="7"/>
  <c r="V15" i="4"/>
  <c r="I16" i="7"/>
  <c r="M15" i="4"/>
  <c r="G15" i="4"/>
  <c r="M16" i="7"/>
  <c r="U15" i="4"/>
  <c r="Q15" i="4"/>
  <c r="O15" i="4"/>
  <c r="K15" i="4"/>
  <c r="S15" i="4"/>
  <c r="R15" i="4"/>
  <c r="C16" i="4"/>
  <c r="D16" i="4"/>
  <c r="J15" i="4"/>
  <c r="I15" i="4"/>
  <c r="P15" i="4"/>
  <c r="N15" i="4"/>
  <c r="H15" i="4"/>
  <c r="F15" i="4"/>
  <c r="T15" i="4"/>
  <c r="L15" i="4"/>
  <c r="L16" i="7"/>
  <c r="H16" i="7"/>
  <c r="G16" i="7"/>
  <c r="N16" i="7"/>
  <c r="J16" i="7"/>
  <c r="F16" i="7"/>
  <c r="O17" i="7"/>
  <c r="R17" i="7"/>
  <c r="P17" i="7"/>
  <c r="C17" i="7"/>
  <c r="D17" i="7"/>
  <c r="T17" i="7"/>
  <c r="Q17" i="7"/>
  <c r="U17" i="7"/>
  <c r="S17" i="7"/>
  <c r="V17" i="7"/>
  <c r="K16" i="7"/>
  <c r="N17" i="7"/>
  <c r="N16" i="4"/>
  <c r="R16" i="4"/>
  <c r="K16" i="4"/>
  <c r="F16" i="4"/>
  <c r="Q16" i="4"/>
  <c r="O16" i="4"/>
  <c r="C17" i="4"/>
  <c r="D17" i="4"/>
  <c r="M16" i="4"/>
  <c r="J16" i="4"/>
  <c r="T16" i="4"/>
  <c r="U16" i="4"/>
  <c r="V16" i="4"/>
  <c r="G16" i="4"/>
  <c r="I16" i="4"/>
  <c r="H16" i="4"/>
  <c r="L16" i="4"/>
  <c r="P16" i="4"/>
  <c r="S16" i="4"/>
  <c r="J17" i="7"/>
  <c r="I17" i="7"/>
  <c r="Q18" i="7"/>
  <c r="T18" i="7"/>
  <c r="O18" i="7"/>
  <c r="U18" i="7"/>
  <c r="S18" i="7"/>
  <c r="P18" i="7"/>
  <c r="D18" i="7"/>
  <c r="C18" i="7"/>
  <c r="V18" i="7"/>
  <c r="R18" i="7"/>
  <c r="M17" i="7"/>
  <c r="F17" i="7"/>
  <c r="K17" i="7"/>
  <c r="L17" i="7"/>
  <c r="H17" i="7"/>
  <c r="G17" i="7"/>
  <c r="N18" i="7"/>
  <c r="V17" i="4"/>
  <c r="J17" i="4"/>
  <c r="H18" i="7"/>
  <c r="I18" i="7"/>
  <c r="U17" i="4"/>
  <c r="T17" i="4"/>
  <c r="F17" i="4"/>
  <c r="O17" i="4"/>
  <c r="M17" i="4"/>
  <c r="G17" i="4"/>
  <c r="I17" i="4"/>
  <c r="D18" i="4"/>
  <c r="C18" i="4"/>
  <c r="H17" i="4"/>
  <c r="S17" i="4"/>
  <c r="Q17" i="4"/>
  <c r="K17" i="4"/>
  <c r="P17" i="4"/>
  <c r="R17" i="4"/>
  <c r="N17" i="4"/>
  <c r="L17" i="4"/>
  <c r="F18" i="7"/>
  <c r="C19" i="7"/>
  <c r="Q19" i="7"/>
  <c r="O19" i="7"/>
  <c r="R19" i="7"/>
  <c r="U19" i="7"/>
  <c r="V19" i="7"/>
  <c r="T19" i="7"/>
  <c r="S19" i="7"/>
  <c r="P19" i="7"/>
  <c r="D19" i="7"/>
  <c r="L18" i="7"/>
  <c r="G18" i="7"/>
  <c r="J18" i="7"/>
  <c r="K18" i="7"/>
  <c r="M18" i="7"/>
  <c r="G18" i="4"/>
  <c r="Q18" i="4"/>
  <c r="U18" i="4"/>
  <c r="L18" i="4"/>
  <c r="K19" i="7"/>
  <c r="H18" i="4"/>
  <c r="N18" i="4"/>
  <c r="G19" i="7"/>
  <c r="L19" i="7"/>
  <c r="V18" i="4"/>
  <c r="J18" i="4"/>
  <c r="R18" i="4"/>
  <c r="T18" i="4"/>
  <c r="D19" i="4"/>
  <c r="C19" i="4"/>
  <c r="I18" i="4"/>
  <c r="M18" i="4"/>
  <c r="S18" i="4"/>
  <c r="O18" i="4"/>
  <c r="P18" i="4"/>
  <c r="K18" i="4"/>
  <c r="F18" i="4"/>
  <c r="M19" i="7"/>
  <c r="N19" i="7"/>
  <c r="F19" i="7"/>
  <c r="J19" i="7"/>
  <c r="T20" i="7"/>
  <c r="C20" i="7"/>
  <c r="V20" i="7"/>
  <c r="D20" i="7"/>
  <c r="Q20" i="7"/>
  <c r="P20" i="7"/>
  <c r="U20" i="7"/>
  <c r="O20" i="7"/>
  <c r="S20" i="7"/>
  <c r="R20" i="7"/>
  <c r="H19" i="7"/>
  <c r="I19" i="7"/>
  <c r="N19" i="4"/>
  <c r="I19" i="4"/>
  <c r="F19" i="4"/>
  <c r="O19" i="4"/>
  <c r="K19" i="4"/>
  <c r="T19" i="4"/>
  <c r="R19" i="4"/>
  <c r="J19" i="4"/>
  <c r="M19" i="4"/>
  <c r="L19" i="4"/>
  <c r="C20" i="4"/>
  <c r="D20" i="4"/>
  <c r="Q19" i="4"/>
  <c r="U19" i="4"/>
  <c r="S19" i="4"/>
  <c r="V19" i="4"/>
  <c r="H19" i="4"/>
  <c r="G19" i="4"/>
  <c r="P19" i="4"/>
  <c r="J20" i="7"/>
  <c r="G20" i="7"/>
  <c r="N20" i="7"/>
  <c r="D21" i="7"/>
  <c r="O21" i="7"/>
  <c r="Q21" i="7"/>
  <c r="S21" i="7"/>
  <c r="V21" i="7"/>
  <c r="P21" i="7"/>
  <c r="U21" i="7"/>
  <c r="T21" i="7"/>
  <c r="C21" i="7"/>
  <c r="R21" i="7"/>
  <c r="F20" i="7"/>
  <c r="M20" i="7"/>
  <c r="K20" i="7"/>
  <c r="I20" i="7"/>
  <c r="H20" i="7"/>
  <c r="L20" i="7"/>
  <c r="I20" i="4"/>
  <c r="L20" i="4"/>
  <c r="L21" i="7"/>
  <c r="O20" i="4"/>
  <c r="F20" i="4"/>
  <c r="Q20" i="4"/>
  <c r="S20" i="4"/>
  <c r="U20" i="4"/>
  <c r="N20" i="4"/>
  <c r="K20" i="4"/>
  <c r="D21" i="4"/>
  <c r="C21" i="4"/>
  <c r="T20" i="4"/>
  <c r="R20" i="4"/>
  <c r="V20" i="4"/>
  <c r="H20" i="4"/>
  <c r="J20" i="4"/>
  <c r="M20" i="4"/>
  <c r="P20" i="4"/>
  <c r="G20" i="4"/>
  <c r="H21" i="7"/>
  <c r="M21" i="7"/>
  <c r="I21" i="7"/>
  <c r="N21" i="7"/>
  <c r="F21" i="7"/>
  <c r="Q22" i="7"/>
  <c r="R22" i="7"/>
  <c r="U22" i="7"/>
  <c r="S22" i="7"/>
  <c r="O22" i="7"/>
  <c r="V22" i="7"/>
  <c r="D22" i="7"/>
  <c r="T22" i="7"/>
  <c r="P22" i="7"/>
  <c r="C22" i="7"/>
  <c r="G21" i="7"/>
  <c r="J21" i="7"/>
  <c r="K21" i="7"/>
  <c r="N22" i="7"/>
  <c r="N21" i="4"/>
  <c r="O21" i="4"/>
  <c r="Q21" i="4"/>
  <c r="K21" i="4"/>
  <c r="H21" i="4"/>
  <c r="D22" i="4"/>
  <c r="C22" i="4"/>
  <c r="P21" i="4"/>
  <c r="S21" i="4"/>
  <c r="L21" i="4"/>
  <c r="M21" i="4"/>
  <c r="G21" i="4"/>
  <c r="F21" i="4"/>
  <c r="J21" i="4"/>
  <c r="T21" i="4"/>
  <c r="V21" i="4"/>
  <c r="R21" i="4"/>
  <c r="I21" i="4"/>
  <c r="U21" i="4"/>
  <c r="K22" i="7"/>
  <c r="G22" i="7"/>
  <c r="V23" i="7"/>
  <c r="O23" i="7"/>
  <c r="U23" i="7"/>
  <c r="T23" i="7"/>
  <c r="L22" i="7"/>
  <c r="F22" i="7"/>
  <c r="H22" i="7"/>
  <c r="I22" i="7"/>
  <c r="M22" i="7"/>
  <c r="J22" i="7"/>
  <c r="J22" i="4"/>
  <c r="M22" i="4"/>
  <c r="N23" i="7"/>
  <c r="K22" i="4"/>
  <c r="V22" i="4"/>
  <c r="I22" i="4"/>
  <c r="C23" i="4"/>
  <c r="D23" i="4"/>
  <c r="G22" i="4"/>
  <c r="Q22" i="4"/>
  <c r="P22" i="4"/>
  <c r="F22" i="4"/>
  <c r="R22" i="4"/>
  <c r="L22" i="4"/>
  <c r="O22" i="4"/>
  <c r="T22" i="4"/>
  <c r="N22" i="4"/>
  <c r="U22" i="4"/>
  <c r="S22" i="4"/>
  <c r="H22" i="4"/>
  <c r="G23" i="7"/>
  <c r="K23" i="7"/>
  <c r="I23" i="7"/>
  <c r="F23" i="7"/>
  <c r="T24" i="7"/>
  <c r="S24" i="7"/>
  <c r="U24" i="7"/>
  <c r="V24" i="7"/>
  <c r="O24" i="7"/>
  <c r="H23" i="7"/>
  <c r="J23" i="7"/>
  <c r="M23" i="7"/>
  <c r="L23" i="7"/>
  <c r="M23" i="4"/>
  <c r="J24" i="7"/>
  <c r="T23" i="4"/>
  <c r="V23" i="4"/>
  <c r="N24" i="7"/>
  <c r="H24" i="7"/>
  <c r="I23" i="4"/>
  <c r="H23" i="4"/>
  <c r="C24" i="4"/>
  <c r="D24" i="4"/>
  <c r="R23" i="4"/>
  <c r="P23" i="4"/>
  <c r="S23" i="4"/>
  <c r="G23" i="4"/>
  <c r="U23" i="4"/>
  <c r="Q23" i="4"/>
  <c r="O23" i="4"/>
  <c r="L23" i="4"/>
  <c r="F23" i="4"/>
  <c r="N23" i="4"/>
  <c r="J23" i="4"/>
  <c r="K23" i="4"/>
  <c r="L24" i="7"/>
  <c r="O25" i="7"/>
  <c r="C25" i="7"/>
  <c r="R25" i="7"/>
  <c r="D25" i="7"/>
  <c r="U25" i="7"/>
  <c r="T25" i="7"/>
  <c r="S25" i="7"/>
  <c r="V25" i="7"/>
  <c r="P25" i="7"/>
  <c r="Q25" i="7"/>
  <c r="M24" i="7"/>
  <c r="K24" i="7"/>
  <c r="G24" i="7"/>
  <c r="F24" i="7"/>
  <c r="V24" i="4"/>
  <c r="H24" i="4"/>
  <c r="G24" i="4"/>
  <c r="K25" i="7"/>
  <c r="J24" i="4"/>
  <c r="O24" i="4"/>
  <c r="M24" i="4"/>
  <c r="C25" i="4"/>
  <c r="D25" i="4"/>
  <c r="F24" i="4"/>
  <c r="L24" i="4"/>
  <c r="P24" i="4"/>
  <c r="S24" i="4"/>
  <c r="Q24" i="4"/>
  <c r="K24" i="4"/>
  <c r="N24" i="4"/>
  <c r="I24" i="4"/>
  <c r="R24" i="4"/>
  <c r="T24" i="4"/>
  <c r="U24" i="4"/>
  <c r="I25" i="7"/>
  <c r="F25" i="7"/>
  <c r="G25" i="7"/>
  <c r="Q26" i="7"/>
  <c r="D26" i="7"/>
  <c r="V26" i="7"/>
  <c r="U26" i="7"/>
  <c r="T26" i="7"/>
  <c r="P26" i="7"/>
  <c r="R26" i="7"/>
  <c r="S26" i="7"/>
  <c r="C26" i="7"/>
  <c r="O26" i="7"/>
  <c r="M25" i="7"/>
  <c r="N25" i="7"/>
  <c r="J25" i="7"/>
  <c r="L25" i="7"/>
  <c r="H25" i="7"/>
  <c r="U25" i="4"/>
  <c r="R25" i="4"/>
  <c r="K26" i="7"/>
  <c r="G26" i="7"/>
  <c r="J25" i="4"/>
  <c r="S25" i="4"/>
  <c r="Q25" i="4"/>
  <c r="M25" i="4"/>
  <c r="D26" i="4"/>
  <c r="C26" i="4"/>
  <c r="K25" i="4"/>
  <c r="I25" i="4"/>
  <c r="P25" i="4"/>
  <c r="N25" i="4"/>
  <c r="F25" i="4"/>
  <c r="T25" i="4"/>
  <c r="V25" i="4"/>
  <c r="L25" i="4"/>
  <c r="O25" i="4"/>
  <c r="H25" i="4"/>
  <c r="G25" i="4"/>
  <c r="H26" i="7"/>
  <c r="F26" i="7"/>
  <c r="N26" i="7"/>
  <c r="J26" i="7"/>
  <c r="L26" i="7"/>
  <c r="U27" i="7"/>
  <c r="C27" i="7"/>
  <c r="R27" i="7"/>
  <c r="V27" i="7"/>
  <c r="O27" i="7"/>
  <c r="D27" i="7"/>
  <c r="Q27" i="7"/>
  <c r="T27" i="7"/>
  <c r="P27" i="7"/>
  <c r="S27" i="7"/>
  <c r="M26" i="7"/>
  <c r="I26" i="7"/>
  <c r="N27" i="7"/>
  <c r="K26" i="4"/>
  <c r="I26" i="4"/>
  <c r="M27" i="7"/>
  <c r="J27" i="7"/>
  <c r="M26" i="4"/>
  <c r="L26" i="4"/>
  <c r="N26" i="4"/>
  <c r="D27" i="4"/>
  <c r="C27" i="4"/>
  <c r="V26" i="4"/>
  <c r="P26" i="4"/>
  <c r="T26" i="4"/>
  <c r="S26" i="4"/>
  <c r="U26" i="4"/>
  <c r="O26" i="4"/>
  <c r="J26" i="4"/>
  <c r="Q26" i="4"/>
  <c r="R26" i="4"/>
  <c r="G26" i="4"/>
  <c r="F26" i="4"/>
  <c r="H26" i="4"/>
  <c r="G27" i="7"/>
  <c r="T28" i="7"/>
  <c r="V28" i="7"/>
  <c r="D28" i="7"/>
  <c r="P28" i="7"/>
  <c r="S28" i="7"/>
  <c r="U28" i="7"/>
  <c r="Q28" i="7"/>
  <c r="O28" i="7"/>
  <c r="C28" i="7"/>
  <c r="R28" i="7"/>
  <c r="H27" i="7"/>
  <c r="I27" i="7"/>
  <c r="L27" i="7"/>
  <c r="K27" i="7"/>
  <c r="F27" i="7"/>
  <c r="I28" i="7"/>
  <c r="N27" i="4"/>
  <c r="L28" i="7"/>
  <c r="L27" i="4"/>
  <c r="V27" i="4"/>
  <c r="R27" i="4"/>
  <c r="F27" i="4"/>
  <c r="Q27" i="4"/>
  <c r="U27" i="4"/>
  <c r="G27" i="4"/>
  <c r="S27" i="4"/>
  <c r="C28" i="4"/>
  <c r="D28" i="4"/>
  <c r="K27" i="4"/>
  <c r="J27" i="4"/>
  <c r="P27" i="4"/>
  <c r="O27" i="4"/>
  <c r="H27" i="4"/>
  <c r="T27" i="4"/>
  <c r="I27" i="4"/>
  <c r="M27" i="4"/>
  <c r="M28" i="7"/>
  <c r="O29" i="7"/>
  <c r="U29" i="7"/>
  <c r="V29" i="7"/>
  <c r="T29" i="7"/>
  <c r="D29" i="7"/>
  <c r="Q29" i="7"/>
  <c r="P29" i="7"/>
  <c r="R29" i="7"/>
  <c r="S29" i="7"/>
  <c r="C29" i="7"/>
  <c r="F28" i="7"/>
  <c r="K28" i="7"/>
  <c r="G28" i="7"/>
  <c r="N28" i="7"/>
  <c r="H28" i="7"/>
  <c r="J28" i="7"/>
  <c r="T28" i="4"/>
  <c r="K29" i="7"/>
  <c r="J29" i="7"/>
  <c r="J28" i="4"/>
  <c r="U28" i="4"/>
  <c r="L29" i="7"/>
  <c r="Q28" i="4"/>
  <c r="M28" i="4"/>
  <c r="H28" i="4"/>
  <c r="F28" i="4"/>
  <c r="I28" i="4"/>
  <c r="O28" i="4"/>
  <c r="R28" i="4"/>
  <c r="D29" i="4"/>
  <c r="C29" i="4"/>
  <c r="S28" i="4"/>
  <c r="G28" i="4"/>
  <c r="N28" i="4"/>
  <c r="K28" i="4"/>
  <c r="P28" i="4"/>
  <c r="L28" i="4"/>
  <c r="V28" i="4"/>
  <c r="I29" i="7"/>
  <c r="M29" i="7"/>
  <c r="G29" i="7"/>
  <c r="F29" i="7"/>
  <c r="U30" i="7"/>
  <c r="C30" i="7"/>
  <c r="D30" i="7"/>
  <c r="P30" i="7"/>
  <c r="Q30" i="7"/>
  <c r="T30" i="7"/>
  <c r="R30" i="7"/>
  <c r="O30" i="7"/>
  <c r="S30" i="7"/>
  <c r="V30" i="7"/>
  <c r="H29" i="7"/>
  <c r="N29" i="7"/>
  <c r="O29" i="4"/>
  <c r="I29" i="4"/>
  <c r="K30" i="7"/>
  <c r="U29" i="4"/>
  <c r="L29" i="4"/>
  <c r="S29" i="4"/>
  <c r="D30" i="4"/>
  <c r="C30" i="4"/>
  <c r="F29" i="4"/>
  <c r="V29" i="4"/>
  <c r="M29" i="4"/>
  <c r="H29" i="4"/>
  <c r="R29" i="4"/>
  <c r="G29" i="4"/>
  <c r="K29" i="4"/>
  <c r="Q29" i="4"/>
  <c r="P29" i="4"/>
  <c r="N29" i="4"/>
  <c r="J29" i="4"/>
  <c r="T29" i="4"/>
  <c r="F30" i="7"/>
  <c r="I30" i="7"/>
  <c r="D31" i="7"/>
  <c r="O31" i="7"/>
  <c r="V31" i="7"/>
  <c r="Q31" i="7"/>
  <c r="C31" i="7"/>
  <c r="R31" i="7"/>
  <c r="U31" i="7"/>
  <c r="T31" i="7"/>
  <c r="P31" i="7"/>
  <c r="S31" i="7"/>
  <c r="M30" i="7"/>
  <c r="H30" i="7"/>
  <c r="N30" i="7"/>
  <c r="L30" i="7"/>
  <c r="G30" i="7"/>
  <c r="J30" i="7"/>
  <c r="N31" i="7"/>
  <c r="G31" i="7"/>
  <c r="Q30" i="4"/>
  <c r="F31" i="7"/>
  <c r="T30" i="4"/>
  <c r="L31" i="7"/>
  <c r="O30" i="4"/>
  <c r="L30" i="4"/>
  <c r="K30" i="4"/>
  <c r="C31" i="4"/>
  <c r="D31" i="4"/>
  <c r="V30" i="4"/>
  <c r="N30" i="4"/>
  <c r="U30" i="4"/>
  <c r="P30" i="4"/>
  <c r="M30" i="4"/>
  <c r="G30" i="4"/>
  <c r="F30" i="4"/>
  <c r="H30" i="4"/>
  <c r="I30" i="4"/>
  <c r="R30" i="4"/>
  <c r="J30" i="4"/>
  <c r="S30" i="4"/>
  <c r="C32" i="7"/>
  <c r="T32" i="7"/>
  <c r="R32" i="7"/>
  <c r="Q32" i="7"/>
  <c r="O32" i="7"/>
  <c r="V32" i="7"/>
  <c r="P32" i="7"/>
  <c r="U32" i="7"/>
  <c r="S32" i="7"/>
  <c r="D32" i="7"/>
  <c r="I31" i="7"/>
  <c r="M31" i="7"/>
  <c r="H31" i="7"/>
  <c r="J31" i="7"/>
  <c r="K31" i="7"/>
  <c r="K32" i="7"/>
  <c r="J31" i="4"/>
  <c r="G31" i="4"/>
  <c r="L32" i="7"/>
  <c r="R31" i="4"/>
  <c r="P31" i="4"/>
  <c r="H31" i="4"/>
  <c r="M31" i="4"/>
  <c r="C32" i="4"/>
  <c r="D32" i="4"/>
  <c r="N31" i="4"/>
  <c r="S31" i="4"/>
  <c r="K31" i="4"/>
  <c r="T31" i="4"/>
  <c r="F31" i="4"/>
  <c r="L31" i="4"/>
  <c r="Q31" i="4"/>
  <c r="U31" i="4"/>
  <c r="I31" i="4"/>
  <c r="V31" i="4"/>
  <c r="O31" i="4"/>
  <c r="N32" i="7"/>
  <c r="F32" i="7"/>
  <c r="G32" i="7"/>
  <c r="O33" i="7"/>
  <c r="C33" i="7"/>
  <c r="Q33" i="7"/>
  <c r="S33" i="7"/>
  <c r="T33" i="7"/>
  <c r="D33" i="7"/>
  <c r="U33" i="7"/>
  <c r="R33" i="7"/>
  <c r="P33" i="7"/>
  <c r="V33" i="7"/>
  <c r="H32" i="7"/>
  <c r="M32" i="7"/>
  <c r="J32" i="7"/>
  <c r="I32" i="7"/>
  <c r="T32" i="4"/>
  <c r="I33" i="7"/>
  <c r="K32" i="4"/>
  <c r="O32" i="4"/>
  <c r="S32" i="4"/>
  <c r="G32" i="4"/>
  <c r="R32" i="4"/>
  <c r="I32" i="4"/>
  <c r="J32" i="4"/>
  <c r="L32" i="4"/>
  <c r="M32" i="4"/>
  <c r="C33" i="4"/>
  <c r="D33" i="4"/>
  <c r="F32" i="4"/>
  <c r="P32" i="4"/>
  <c r="N32" i="4"/>
  <c r="V32" i="4"/>
  <c r="Q32" i="4"/>
  <c r="U32" i="4"/>
  <c r="H32" i="4"/>
  <c r="G33" i="7"/>
  <c r="F33" i="7"/>
  <c r="M33" i="7"/>
  <c r="R34" i="7"/>
  <c r="O34" i="7"/>
  <c r="C34" i="7"/>
  <c r="S34" i="7"/>
  <c r="P34" i="7"/>
  <c r="T34" i="7"/>
  <c r="V34" i="7"/>
  <c r="D34" i="7"/>
  <c r="Q34" i="7"/>
  <c r="U34" i="7"/>
  <c r="J33" i="7"/>
  <c r="L33" i="7"/>
  <c r="N33" i="7"/>
  <c r="H33" i="7"/>
  <c r="K33" i="7"/>
  <c r="R33" i="4"/>
  <c r="F34" i="7"/>
  <c r="H33" i="4"/>
  <c r="K34" i="7"/>
  <c r="L33" i="4"/>
  <c r="G33" i="4"/>
  <c r="F33" i="4"/>
  <c r="I33" i="4"/>
  <c r="D34" i="4"/>
  <c r="C34" i="4"/>
  <c r="U33" i="4"/>
  <c r="M33" i="4"/>
  <c r="S33" i="4"/>
  <c r="N33" i="4"/>
  <c r="T33" i="4"/>
  <c r="Q33" i="4"/>
  <c r="V33" i="4"/>
  <c r="K33" i="4"/>
  <c r="J33" i="4"/>
  <c r="O33" i="4"/>
  <c r="P33" i="4"/>
  <c r="G34" i="7"/>
  <c r="I34" i="7"/>
  <c r="D35" i="7"/>
  <c r="P35" i="7"/>
  <c r="U35" i="7"/>
  <c r="C35" i="7"/>
  <c r="T35" i="7"/>
  <c r="O35" i="7"/>
  <c r="Q35" i="7"/>
  <c r="S35" i="7"/>
  <c r="V35" i="7"/>
  <c r="R35" i="7"/>
  <c r="L34" i="7"/>
  <c r="M34" i="7"/>
  <c r="N34" i="7"/>
  <c r="H34" i="7"/>
  <c r="J34" i="7"/>
  <c r="F34" i="4"/>
  <c r="G35" i="7"/>
  <c r="H34" i="4"/>
  <c r="M35" i="7"/>
  <c r="U34" i="4"/>
  <c r="Q34" i="4"/>
  <c r="N34" i="4"/>
  <c r="D35" i="4"/>
  <c r="C35" i="4"/>
  <c r="I34" i="4"/>
  <c r="J34" i="4"/>
  <c r="P34" i="4"/>
  <c r="O34" i="4"/>
  <c r="L34" i="4"/>
  <c r="T34" i="4"/>
  <c r="M34" i="4"/>
  <c r="G34" i="4"/>
  <c r="S34" i="4"/>
  <c r="V34" i="4"/>
  <c r="R34" i="4"/>
  <c r="K34" i="4"/>
  <c r="J35" i="7"/>
  <c r="L35" i="7"/>
  <c r="K35" i="7"/>
  <c r="R36" i="7"/>
  <c r="S36" i="7"/>
  <c r="O36" i="7"/>
  <c r="P36" i="7"/>
  <c r="V36" i="7"/>
  <c r="D36" i="7"/>
  <c r="C36" i="7"/>
  <c r="T36" i="7"/>
  <c r="Q36" i="7"/>
  <c r="U36" i="7"/>
  <c r="I35" i="7"/>
  <c r="F35" i="7"/>
  <c r="H35" i="7"/>
  <c r="N35" i="7"/>
  <c r="I36" i="7"/>
  <c r="F35" i="4"/>
  <c r="M35" i="4"/>
  <c r="J35" i="4"/>
  <c r="F36" i="7"/>
  <c r="T35" i="4"/>
  <c r="K35" i="4"/>
  <c r="Q35" i="4"/>
  <c r="L35" i="4"/>
  <c r="O35" i="4"/>
  <c r="H35" i="4"/>
  <c r="V35" i="4"/>
  <c r="C36" i="4"/>
  <c r="D36" i="4"/>
  <c r="N35" i="4"/>
  <c r="P35" i="4"/>
  <c r="S35" i="4"/>
  <c r="U35" i="4"/>
  <c r="R35" i="4"/>
  <c r="G35" i="4"/>
  <c r="I35" i="4"/>
  <c r="J36" i="7"/>
  <c r="U37" i="7"/>
  <c r="P37" i="7"/>
  <c r="C37" i="7"/>
  <c r="T37" i="7"/>
  <c r="R37" i="7"/>
  <c r="D37" i="7"/>
  <c r="S37" i="7"/>
  <c r="V37" i="7"/>
  <c r="Q37" i="7"/>
  <c r="O37" i="7"/>
  <c r="G36" i="7"/>
  <c r="K36" i="7"/>
  <c r="H36" i="7"/>
  <c r="L36" i="7"/>
  <c r="N36" i="7"/>
  <c r="M36" i="7"/>
  <c r="O36" i="4"/>
  <c r="J37" i="7"/>
  <c r="G36" i="4"/>
  <c r="V36" i="4"/>
  <c r="G37" i="7"/>
  <c r="Q36" i="4"/>
  <c r="S36" i="4"/>
  <c r="I36" i="4"/>
  <c r="K36" i="4"/>
  <c r="P36" i="4"/>
  <c r="N36" i="4"/>
  <c r="L36" i="4"/>
  <c r="D37" i="4"/>
  <c r="C37" i="4"/>
  <c r="F36" i="4"/>
  <c r="H36" i="4"/>
  <c r="M36" i="4"/>
  <c r="U36" i="4"/>
  <c r="T36" i="4"/>
  <c r="R36" i="4"/>
  <c r="J36" i="4"/>
  <c r="K37" i="7"/>
  <c r="C38" i="7"/>
  <c r="O38" i="7"/>
  <c r="S38" i="7"/>
  <c r="Q38" i="7"/>
  <c r="D38" i="7"/>
  <c r="R38" i="7"/>
  <c r="U38" i="7"/>
  <c r="T38" i="7"/>
  <c r="P38" i="7"/>
  <c r="V38" i="7"/>
  <c r="F37" i="7"/>
  <c r="I37" i="7"/>
  <c r="N37" i="7"/>
  <c r="L37" i="7"/>
  <c r="H37" i="7"/>
  <c r="M37" i="7"/>
  <c r="P37" i="4"/>
  <c r="L37" i="4"/>
  <c r="K38" i="7"/>
  <c r="U37" i="4"/>
  <c r="N38" i="7"/>
  <c r="L38" i="7"/>
  <c r="V37" i="4"/>
  <c r="K37" i="4"/>
  <c r="D38" i="4"/>
  <c r="C38" i="4"/>
  <c r="T37" i="4"/>
  <c r="F37" i="4"/>
  <c r="R37" i="4"/>
  <c r="M37" i="4"/>
  <c r="I37" i="4"/>
  <c r="N37" i="4"/>
  <c r="J37" i="4"/>
  <c r="O37" i="4"/>
  <c r="G37" i="4"/>
  <c r="Q37" i="4"/>
  <c r="S37" i="4"/>
  <c r="H37" i="4"/>
  <c r="J38" i="7"/>
  <c r="G38" i="7"/>
  <c r="I38" i="7"/>
  <c r="C39" i="7"/>
  <c r="S39" i="7"/>
  <c r="D39" i="7"/>
  <c r="O39" i="7"/>
  <c r="U39" i="7"/>
  <c r="P39" i="7"/>
  <c r="Q39" i="7"/>
  <c r="T39" i="7"/>
  <c r="V39" i="7"/>
  <c r="R39" i="7"/>
  <c r="H38" i="7"/>
  <c r="F38" i="7"/>
  <c r="M38" i="7"/>
  <c r="U38" i="4"/>
  <c r="T38" i="4"/>
  <c r="H39" i="7"/>
  <c r="J38" i="4"/>
  <c r="N39" i="7"/>
  <c r="P38" i="4"/>
  <c r="G38" i="4"/>
  <c r="C39" i="4"/>
  <c r="D39" i="4"/>
  <c r="H38" i="4"/>
  <c r="R38" i="4"/>
  <c r="M38" i="4"/>
  <c r="O38" i="4"/>
  <c r="S38" i="4"/>
  <c r="Q38" i="4"/>
  <c r="K38" i="4"/>
  <c r="L38" i="4"/>
  <c r="V38" i="4"/>
  <c r="N38" i="4"/>
  <c r="F38" i="4"/>
  <c r="I38" i="4"/>
  <c r="F39" i="7"/>
  <c r="G39" i="7"/>
  <c r="I39" i="7"/>
  <c r="L39" i="7"/>
  <c r="K39" i="7"/>
  <c r="S40" i="7"/>
  <c r="R40" i="7"/>
  <c r="P40" i="7"/>
  <c r="V40" i="7"/>
  <c r="U40" i="7"/>
  <c r="T40" i="7"/>
  <c r="Q40" i="7"/>
  <c r="O40" i="7"/>
  <c r="C40" i="7"/>
  <c r="D40" i="7"/>
  <c r="J39" i="7"/>
  <c r="M39" i="7"/>
  <c r="V39" i="4"/>
  <c r="R39" i="4"/>
  <c r="M39" i="4"/>
  <c r="T39" i="4"/>
  <c r="H39" i="4"/>
  <c r="C40" i="4"/>
  <c r="D40" i="4"/>
  <c r="L39" i="4"/>
  <c r="O39" i="4"/>
  <c r="U39" i="4"/>
  <c r="G39" i="4"/>
  <c r="F39" i="4"/>
  <c r="I39" i="4"/>
  <c r="P39" i="4"/>
  <c r="N39" i="4"/>
  <c r="J39" i="4"/>
  <c r="K39" i="4"/>
  <c r="S39" i="4"/>
  <c r="Q39" i="4"/>
  <c r="F40" i="7"/>
  <c r="K40" i="7"/>
  <c r="I40" i="7"/>
  <c r="L40" i="7"/>
  <c r="G40" i="7"/>
  <c r="N40" i="7"/>
  <c r="O41" i="7"/>
  <c r="T41" i="7"/>
  <c r="C41" i="7"/>
  <c r="D41" i="7"/>
  <c r="Q41" i="7"/>
  <c r="U41" i="7"/>
  <c r="R41" i="7"/>
  <c r="S41" i="7"/>
  <c r="P41" i="7"/>
  <c r="V41" i="7"/>
  <c r="H40" i="7"/>
  <c r="M40" i="7"/>
  <c r="J40" i="7"/>
  <c r="L41" i="7"/>
  <c r="U40" i="4"/>
  <c r="L40" i="4"/>
  <c r="K41" i="7"/>
  <c r="F41" i="7"/>
  <c r="V40" i="4"/>
  <c r="I40" i="4"/>
  <c r="O40" i="4"/>
  <c r="R40" i="4"/>
  <c r="C41" i="4"/>
  <c r="D41" i="4"/>
  <c r="J40" i="4"/>
  <c r="Q40" i="4"/>
  <c r="N40" i="4"/>
  <c r="F40" i="4"/>
  <c r="M40" i="4"/>
  <c r="P40" i="4"/>
  <c r="H40" i="4"/>
  <c r="T40" i="4"/>
  <c r="G40" i="4"/>
  <c r="S40" i="4"/>
  <c r="K40" i="4"/>
  <c r="N41" i="7"/>
  <c r="G41" i="7"/>
  <c r="V42" i="7"/>
  <c r="T42" i="7"/>
  <c r="D42" i="7"/>
  <c r="P42" i="7"/>
  <c r="O42" i="7"/>
  <c r="S42" i="7"/>
  <c r="Q42" i="7"/>
  <c r="C42" i="7"/>
  <c r="U42" i="7"/>
  <c r="R42" i="7"/>
  <c r="H41" i="7"/>
  <c r="J41" i="7"/>
  <c r="M41" i="7"/>
  <c r="I41" i="7"/>
  <c r="T41" i="4"/>
  <c r="K41" i="4"/>
  <c r="U41" i="4"/>
  <c r="J41" i="4"/>
  <c r="J42" i="7"/>
  <c r="N41" i="4"/>
  <c r="O41" i="4"/>
  <c r="G41" i="4"/>
  <c r="R41" i="4"/>
  <c r="F41" i="4"/>
  <c r="D42" i="4"/>
  <c r="C42" i="4"/>
  <c r="S41" i="4"/>
  <c r="M41" i="4"/>
  <c r="P41" i="4"/>
  <c r="L41" i="4"/>
  <c r="I41" i="4"/>
  <c r="Q41" i="4"/>
  <c r="V41" i="4"/>
  <c r="H41" i="4"/>
  <c r="N42" i="7"/>
  <c r="K42" i="7"/>
  <c r="M42" i="7"/>
  <c r="F42" i="7"/>
  <c r="D43" i="7"/>
  <c r="P43" i="7"/>
  <c r="V43" i="7"/>
  <c r="O43" i="7"/>
  <c r="R43" i="7"/>
  <c r="S43" i="7"/>
  <c r="T43" i="7"/>
  <c r="U43" i="7"/>
  <c r="C43" i="7"/>
  <c r="Q43" i="7"/>
  <c r="H42" i="7"/>
  <c r="I42" i="7"/>
  <c r="L42" i="7"/>
  <c r="G42" i="7"/>
  <c r="F43" i="7"/>
  <c r="F42" i="4"/>
  <c r="Q42" i="4"/>
  <c r="I43" i="7"/>
  <c r="N43" i="7"/>
  <c r="P42" i="4"/>
  <c r="T42" i="4"/>
  <c r="O42" i="4"/>
  <c r="J42" i="4"/>
  <c r="I42" i="4"/>
  <c r="L42" i="4"/>
  <c r="M42" i="4"/>
  <c r="G42" i="4"/>
  <c r="D43" i="4"/>
  <c r="C43" i="4"/>
  <c r="U42" i="4"/>
  <c r="V42" i="4"/>
  <c r="S42" i="4"/>
  <c r="R42" i="4"/>
  <c r="H42" i="4"/>
  <c r="N42" i="4"/>
  <c r="K42" i="4"/>
  <c r="G43" i="7"/>
  <c r="J43" i="7"/>
  <c r="M43" i="7"/>
  <c r="Q44" i="7"/>
  <c r="R44" i="7"/>
  <c r="V44" i="7"/>
  <c r="C44" i="7"/>
  <c r="P44" i="7"/>
  <c r="O44" i="7"/>
  <c r="T44" i="7"/>
  <c r="D44" i="7"/>
  <c r="S44" i="7"/>
  <c r="U44" i="7"/>
  <c r="L43" i="7"/>
  <c r="K43" i="7"/>
  <c r="H43" i="7"/>
  <c r="I44" i="7"/>
  <c r="O43" i="4"/>
  <c r="G44" i="7"/>
  <c r="U43" i="4"/>
  <c r="M44" i="7"/>
  <c r="F44" i="7"/>
  <c r="M43" i="4"/>
  <c r="Q43" i="4"/>
  <c r="V43" i="4"/>
  <c r="N43" i="4"/>
  <c r="J43" i="4"/>
  <c r="L43" i="4"/>
  <c r="P43" i="4"/>
  <c r="C44" i="4"/>
  <c r="D44" i="4"/>
  <c r="I43" i="4"/>
  <c r="T43" i="4"/>
  <c r="H43" i="4"/>
  <c r="K43" i="4"/>
  <c r="G43" i="4"/>
  <c r="F43" i="4"/>
  <c r="R43" i="4"/>
  <c r="S43" i="4"/>
  <c r="J44" i="7"/>
  <c r="K44" i="7"/>
  <c r="H44" i="7"/>
  <c r="L44" i="7"/>
  <c r="S45" i="7"/>
  <c r="R45" i="7"/>
  <c r="O45" i="7"/>
  <c r="Q45" i="7"/>
  <c r="V45" i="7"/>
  <c r="D45" i="7"/>
  <c r="P45" i="7"/>
  <c r="C45" i="7"/>
  <c r="U45" i="7"/>
  <c r="T45" i="7"/>
  <c r="N44" i="7"/>
  <c r="H44" i="4"/>
  <c r="R44" i="4"/>
  <c r="L45" i="7"/>
  <c r="M45" i="7"/>
  <c r="O44" i="4"/>
  <c r="M44" i="4"/>
  <c r="J44" i="4"/>
  <c r="L44" i="4"/>
  <c r="D45" i="4"/>
  <c r="C45" i="4"/>
  <c r="G44" i="4"/>
  <c r="S44" i="4"/>
  <c r="Q44" i="4"/>
  <c r="U44" i="4"/>
  <c r="N44" i="4"/>
  <c r="P44" i="4"/>
  <c r="F44" i="4"/>
  <c r="K44" i="4"/>
  <c r="I44" i="4"/>
  <c r="V44" i="4"/>
  <c r="T44" i="4"/>
  <c r="I45" i="7"/>
  <c r="K45" i="7"/>
  <c r="G45" i="7"/>
  <c r="U46" i="7"/>
  <c r="P46" i="7"/>
  <c r="T46" i="7"/>
  <c r="D46" i="7"/>
  <c r="R46" i="7"/>
  <c r="S46" i="7"/>
  <c r="V46" i="7"/>
  <c r="Q46" i="7"/>
  <c r="O46" i="7"/>
  <c r="C46" i="7"/>
  <c r="J45" i="7"/>
  <c r="N45" i="7"/>
  <c r="F45" i="7"/>
  <c r="H45" i="7"/>
  <c r="J46" i="7"/>
  <c r="T45" i="4"/>
  <c r="O45" i="4"/>
  <c r="I46" i="7"/>
  <c r="G45" i="4"/>
  <c r="V45" i="4"/>
  <c r="H45" i="4"/>
  <c r="D46" i="4"/>
  <c r="C46" i="4"/>
  <c r="R45" i="4"/>
  <c r="P45" i="4"/>
  <c r="Q45" i="4"/>
  <c r="L45" i="4"/>
  <c r="I45" i="4"/>
  <c r="M45" i="4"/>
  <c r="F45" i="4"/>
  <c r="U45" i="4"/>
  <c r="N45" i="4"/>
  <c r="K45" i="4"/>
  <c r="J45" i="4"/>
  <c r="S45" i="4"/>
  <c r="G46" i="7"/>
  <c r="H46" i="7"/>
  <c r="P47" i="7"/>
  <c r="S47" i="7"/>
  <c r="D47" i="7"/>
  <c r="Q47" i="7"/>
  <c r="R47" i="7"/>
  <c r="C47" i="7"/>
  <c r="U47" i="7"/>
  <c r="O47" i="7"/>
  <c r="V47" i="7"/>
  <c r="T47" i="7"/>
  <c r="K46" i="7"/>
  <c r="M46" i="7"/>
  <c r="L46" i="7"/>
  <c r="N46" i="7"/>
  <c r="F46" i="7"/>
  <c r="S46" i="4"/>
  <c r="M46" i="4"/>
  <c r="L47" i="7"/>
  <c r="I46" i="4"/>
  <c r="H46" i="4"/>
  <c r="G46" i="4"/>
  <c r="C47" i="4"/>
  <c r="D47" i="4"/>
  <c r="Q46" i="4"/>
  <c r="F46" i="4"/>
  <c r="R46" i="4"/>
  <c r="L46" i="4"/>
  <c r="U46" i="4"/>
  <c r="T46" i="4"/>
  <c r="V46" i="4"/>
  <c r="O46" i="4"/>
  <c r="K46" i="4"/>
  <c r="J46" i="4"/>
  <c r="N46" i="4"/>
  <c r="P46" i="4"/>
  <c r="H47" i="7"/>
  <c r="J47" i="7"/>
  <c r="F47" i="7"/>
  <c r="M47" i="7"/>
  <c r="K47" i="7"/>
  <c r="Q48" i="7"/>
  <c r="P48" i="7"/>
  <c r="U48" i="7"/>
  <c r="C48" i="7"/>
  <c r="D48" i="7"/>
  <c r="R48" i="7"/>
  <c r="T48" i="7"/>
  <c r="V48" i="7"/>
  <c r="S48" i="7"/>
  <c r="O48" i="7"/>
  <c r="I47" i="7"/>
  <c r="G47" i="7"/>
  <c r="N47" i="7"/>
  <c r="H47" i="4"/>
  <c r="K48" i="7"/>
  <c r="I48" i="7"/>
  <c r="S47" i="4"/>
  <c r="P47" i="4"/>
  <c r="V47" i="4"/>
  <c r="F47" i="4"/>
  <c r="N47" i="4"/>
  <c r="I47" i="4"/>
  <c r="M47" i="4"/>
  <c r="Q47" i="4"/>
  <c r="L47" i="4"/>
  <c r="C48" i="4"/>
  <c r="D48" i="4"/>
  <c r="J47" i="4"/>
  <c r="T47" i="4"/>
  <c r="O47" i="4"/>
  <c r="U47" i="4"/>
  <c r="K47" i="4"/>
  <c r="G47" i="4"/>
  <c r="R47" i="4"/>
  <c r="F48" i="7"/>
  <c r="R49" i="7"/>
  <c r="C49" i="7"/>
  <c r="Q49" i="7"/>
  <c r="O49" i="7"/>
  <c r="P49" i="7"/>
  <c r="D49" i="7"/>
  <c r="T49" i="7"/>
  <c r="V49" i="7"/>
  <c r="U49" i="7"/>
  <c r="S49" i="7"/>
  <c r="H48" i="7"/>
  <c r="M48" i="7"/>
  <c r="J48" i="7"/>
  <c r="N48" i="7"/>
  <c r="G48" i="7"/>
  <c r="L48" i="7"/>
  <c r="F48" i="4"/>
  <c r="K49" i="7"/>
  <c r="M48" i="4"/>
  <c r="I49" i="7"/>
  <c r="J48" i="4"/>
  <c r="U48" i="4"/>
  <c r="V48" i="4"/>
  <c r="Q48" i="4"/>
  <c r="C49" i="4"/>
  <c r="D49" i="4"/>
  <c r="K48" i="4"/>
  <c r="O48" i="4"/>
  <c r="T48" i="4"/>
  <c r="L48" i="4"/>
  <c r="R48" i="4"/>
  <c r="I48" i="4"/>
  <c r="S48" i="4"/>
  <c r="P48" i="4"/>
  <c r="G48" i="4"/>
  <c r="N48" i="4"/>
  <c r="H48" i="4"/>
  <c r="J49" i="7"/>
  <c r="G49" i="7"/>
  <c r="M49" i="7"/>
  <c r="C50" i="7"/>
  <c r="T50" i="7"/>
  <c r="R50" i="7"/>
  <c r="V50" i="7"/>
  <c r="D50" i="7"/>
  <c r="Q50" i="7"/>
  <c r="U50" i="7"/>
  <c r="O50" i="7"/>
  <c r="S50" i="7"/>
  <c r="P50" i="7"/>
  <c r="L49" i="7"/>
  <c r="F49" i="7"/>
  <c r="N49" i="7"/>
  <c r="H49" i="7"/>
  <c r="G49" i="4"/>
  <c r="I49" i="4"/>
  <c r="N50" i="7"/>
  <c r="F49" i="4"/>
  <c r="V49" i="4"/>
  <c r="N49" i="4"/>
  <c r="M49" i="4"/>
  <c r="D50" i="4"/>
  <c r="C50" i="4"/>
  <c r="T49" i="4"/>
  <c r="H49" i="4"/>
  <c r="K49" i="4"/>
  <c r="J49" i="4"/>
  <c r="S49" i="4"/>
  <c r="P49" i="4"/>
  <c r="U49" i="4"/>
  <c r="L49" i="4"/>
  <c r="O49" i="4"/>
  <c r="R49" i="4"/>
  <c r="Q49" i="4"/>
  <c r="F50" i="7"/>
  <c r="H50" i="7"/>
  <c r="L50" i="7"/>
  <c r="I50" i="7"/>
  <c r="G50" i="7"/>
  <c r="M50" i="7"/>
  <c r="D51" i="7"/>
  <c r="Q51" i="7"/>
  <c r="V51" i="7"/>
  <c r="R51" i="7"/>
  <c r="T51" i="7"/>
  <c r="U51" i="7"/>
  <c r="P51" i="7"/>
  <c r="S51" i="7"/>
  <c r="O51" i="7"/>
  <c r="C51" i="7"/>
  <c r="K50" i="7"/>
  <c r="J50" i="7"/>
  <c r="H51" i="7"/>
  <c r="G50" i="4"/>
  <c r="V50" i="4"/>
  <c r="F51" i="7"/>
  <c r="O50" i="4"/>
  <c r="L50" i="4"/>
  <c r="I50" i="4"/>
  <c r="C51" i="4"/>
  <c r="D51" i="4"/>
  <c r="K50" i="4"/>
  <c r="N50" i="4"/>
  <c r="S50" i="4"/>
  <c r="H50" i="4"/>
  <c r="J50" i="4"/>
  <c r="T50" i="4"/>
  <c r="Q50" i="4"/>
  <c r="P50" i="4"/>
  <c r="U50" i="4"/>
  <c r="R50" i="4"/>
  <c r="M50" i="4"/>
  <c r="F50" i="4"/>
  <c r="I51" i="7"/>
  <c r="L51" i="7"/>
  <c r="G51" i="7"/>
  <c r="V52" i="7"/>
  <c r="P52" i="7"/>
  <c r="T52" i="7"/>
  <c r="O52" i="7"/>
  <c r="Q52" i="7"/>
  <c r="S52" i="7"/>
  <c r="D52" i="7"/>
  <c r="U52" i="7"/>
  <c r="C52" i="7"/>
  <c r="R52" i="7"/>
  <c r="N51" i="7"/>
  <c r="M51" i="7"/>
  <c r="J51" i="7"/>
  <c r="K51" i="7"/>
  <c r="U51" i="4"/>
  <c r="O51" i="4"/>
  <c r="I52" i="7"/>
  <c r="K51" i="4"/>
  <c r="Q51" i="4"/>
  <c r="M51" i="4"/>
  <c r="H51" i="4"/>
  <c r="L51" i="4"/>
  <c r="G51" i="4"/>
  <c r="N51" i="4"/>
  <c r="P51" i="4"/>
  <c r="C52" i="4"/>
  <c r="D52" i="4"/>
  <c r="J51" i="4"/>
  <c r="F51" i="4"/>
  <c r="V51" i="4"/>
  <c r="R51" i="4"/>
  <c r="S51" i="4"/>
  <c r="T51" i="4"/>
  <c r="I51" i="4"/>
  <c r="Q53" i="7"/>
  <c r="V53" i="7"/>
  <c r="C53" i="7"/>
  <c r="O53" i="7"/>
  <c r="D53" i="7"/>
  <c r="P53" i="7"/>
  <c r="R53" i="7"/>
  <c r="S53" i="7"/>
  <c r="U53" i="7"/>
  <c r="T53" i="7"/>
  <c r="J52" i="7"/>
  <c r="N52" i="7"/>
  <c r="H52" i="7"/>
  <c r="F52" i="7"/>
  <c r="K52" i="7"/>
  <c r="M52" i="7"/>
  <c r="G52" i="7"/>
  <c r="L52" i="7"/>
  <c r="H53" i="7"/>
  <c r="S52" i="4"/>
  <c r="O52" i="4"/>
  <c r="F53" i="7"/>
  <c r="I52" i="4"/>
  <c r="P52" i="4"/>
  <c r="K52" i="4"/>
  <c r="F52" i="4"/>
  <c r="U52" i="4"/>
  <c r="J52" i="4"/>
  <c r="T52" i="4"/>
  <c r="N52" i="4"/>
  <c r="V52" i="4"/>
  <c r="R52" i="4"/>
  <c r="M52" i="4"/>
  <c r="G52" i="4"/>
  <c r="D53" i="4"/>
  <c r="C53" i="4"/>
  <c r="H52" i="4"/>
  <c r="Q52" i="4"/>
  <c r="L52" i="4"/>
  <c r="I53" i="7"/>
  <c r="U54" i="7"/>
  <c r="D54" i="7"/>
  <c r="P54" i="7"/>
  <c r="T54" i="7"/>
  <c r="O54" i="7"/>
  <c r="S54" i="7"/>
  <c r="R54" i="7"/>
  <c r="C54" i="7"/>
  <c r="V54" i="7"/>
  <c r="Q54" i="7"/>
  <c r="L53" i="7"/>
  <c r="N53" i="7"/>
  <c r="J53" i="7"/>
  <c r="M53" i="7"/>
  <c r="K53" i="7"/>
  <c r="G53" i="7"/>
  <c r="T53" i="4"/>
  <c r="M53" i="4"/>
  <c r="K54" i="7"/>
  <c r="N53" i="4"/>
  <c r="G54" i="7"/>
  <c r="J53" i="4"/>
  <c r="V53" i="4"/>
  <c r="F53" i="4"/>
  <c r="D54" i="4"/>
  <c r="C54" i="4"/>
  <c r="K53" i="4"/>
  <c r="P53" i="4"/>
  <c r="L53" i="4"/>
  <c r="U53" i="4"/>
  <c r="H53" i="4"/>
  <c r="I53" i="4"/>
  <c r="G53" i="4"/>
  <c r="S53" i="4"/>
  <c r="R53" i="4"/>
  <c r="Q53" i="4"/>
  <c r="O53" i="4"/>
  <c r="C55" i="7"/>
  <c r="P55" i="7"/>
  <c r="U55" i="7"/>
  <c r="O55" i="7"/>
  <c r="D55" i="7"/>
  <c r="Q55" i="7"/>
  <c r="S55" i="7"/>
  <c r="T55" i="7"/>
  <c r="R55" i="7"/>
  <c r="V55" i="7"/>
  <c r="L54" i="7"/>
  <c r="J54" i="7"/>
  <c r="H54" i="7"/>
  <c r="I54" i="7"/>
  <c r="N54" i="7"/>
  <c r="M54" i="7"/>
  <c r="F54" i="7"/>
  <c r="G54" i="4"/>
  <c r="T54" i="4"/>
  <c r="I54" i="4"/>
  <c r="J55" i="7"/>
  <c r="M55" i="7"/>
  <c r="G55" i="7"/>
  <c r="L55" i="7"/>
  <c r="N54" i="4"/>
  <c r="H55" i="7"/>
  <c r="I55" i="7"/>
  <c r="Q54" i="4"/>
  <c r="C55" i="4"/>
  <c r="D55" i="4"/>
  <c r="K54" i="4"/>
  <c r="O54" i="4"/>
  <c r="V54" i="4"/>
  <c r="P54" i="4"/>
  <c r="J54" i="4"/>
  <c r="M54" i="4"/>
  <c r="H54" i="4"/>
  <c r="U54" i="4"/>
  <c r="L54" i="4"/>
  <c r="S54" i="4"/>
  <c r="F54" i="4"/>
  <c r="R54" i="4"/>
  <c r="N55" i="7"/>
  <c r="K55" i="7"/>
  <c r="O56" i="7"/>
  <c r="S56" i="7"/>
  <c r="U56" i="7"/>
  <c r="D56" i="7"/>
  <c r="Q56" i="7"/>
  <c r="P56" i="7"/>
  <c r="T56" i="7"/>
  <c r="C56" i="7"/>
  <c r="R56" i="7"/>
  <c r="V56" i="7"/>
  <c r="F55" i="7"/>
  <c r="G56" i="7"/>
  <c r="U55" i="4"/>
  <c r="I55" i="4"/>
  <c r="V55" i="4"/>
  <c r="K55" i="4"/>
  <c r="P55" i="4"/>
  <c r="M55" i="4"/>
  <c r="C56" i="4"/>
  <c r="D56" i="4"/>
  <c r="F55" i="4"/>
  <c r="J55" i="4"/>
  <c r="O55" i="4"/>
  <c r="L55" i="4"/>
  <c r="N55" i="4"/>
  <c r="G55" i="4"/>
  <c r="R55" i="4"/>
  <c r="S55" i="4"/>
  <c r="Q55" i="4"/>
  <c r="T55" i="4"/>
  <c r="H55" i="4"/>
  <c r="H56" i="7"/>
  <c r="I56" i="7"/>
  <c r="K56" i="7"/>
  <c r="L56" i="7"/>
  <c r="P57" i="7"/>
  <c r="U57" i="7"/>
  <c r="D57" i="7"/>
  <c r="T57" i="7"/>
  <c r="C57" i="7"/>
  <c r="R57" i="7"/>
  <c r="O57" i="7"/>
  <c r="S57" i="7"/>
  <c r="V57" i="7"/>
  <c r="Q57" i="7"/>
  <c r="N56" i="7"/>
  <c r="M56" i="7"/>
  <c r="J56" i="7"/>
  <c r="F56" i="7"/>
  <c r="F56" i="4"/>
  <c r="I56" i="4"/>
  <c r="J56" i="4"/>
  <c r="U56" i="4"/>
  <c r="L56" i="4"/>
  <c r="G57" i="7"/>
  <c r="N56" i="4"/>
  <c r="N57" i="7"/>
  <c r="L57" i="7"/>
  <c r="G56" i="4"/>
  <c r="R56" i="4"/>
  <c r="S56" i="4"/>
  <c r="Q56" i="4"/>
  <c r="C57" i="4"/>
  <c r="D57" i="4"/>
  <c r="K56" i="4"/>
  <c r="H56" i="4"/>
  <c r="M56" i="4"/>
  <c r="V56" i="4"/>
  <c r="O56" i="4"/>
  <c r="P56" i="4"/>
  <c r="T56" i="4"/>
  <c r="F57" i="7"/>
  <c r="M57" i="7"/>
  <c r="K57" i="7"/>
  <c r="I57" i="7"/>
  <c r="R58" i="7"/>
  <c r="U58" i="7"/>
  <c r="Q58" i="7"/>
  <c r="D58" i="7"/>
  <c r="V58" i="7"/>
  <c r="P58" i="7"/>
  <c r="S58" i="7"/>
  <c r="O58" i="7"/>
  <c r="C58" i="7"/>
  <c r="T58" i="7"/>
  <c r="H57" i="7"/>
  <c r="J57" i="7"/>
  <c r="Q59" i="7"/>
  <c r="D59" i="7"/>
  <c r="R59" i="7"/>
  <c r="O59" i="7"/>
  <c r="V59" i="7"/>
  <c r="S59" i="7"/>
  <c r="T59" i="7"/>
  <c r="U59" i="7"/>
  <c r="P59" i="7"/>
  <c r="C59" i="7"/>
  <c r="J59" i="7"/>
  <c r="G58" i="7"/>
  <c r="F57" i="4"/>
  <c r="J58" i="7"/>
  <c r="N57" i="4"/>
  <c r="L58" i="7"/>
  <c r="K58" i="7"/>
  <c r="M58" i="7"/>
  <c r="Q57" i="4"/>
  <c r="M57" i="4"/>
  <c r="V57" i="4"/>
  <c r="J57" i="4"/>
  <c r="D58" i="4"/>
  <c r="C58" i="4"/>
  <c r="K57" i="4"/>
  <c r="L57" i="4"/>
  <c r="U57" i="4"/>
  <c r="C59" i="4"/>
  <c r="D59" i="4"/>
  <c r="R57" i="4"/>
  <c r="S57" i="4"/>
  <c r="P57" i="4"/>
  <c r="G57" i="4"/>
  <c r="T57" i="4"/>
  <c r="H57" i="4"/>
  <c r="I57" i="4"/>
  <c r="O57" i="4"/>
  <c r="N58" i="7"/>
  <c r="H58" i="7"/>
  <c r="F58" i="7"/>
  <c r="I58" i="7"/>
  <c r="N59" i="7"/>
  <c r="H59" i="7"/>
  <c r="G59" i="7"/>
  <c r="M59" i="7"/>
  <c r="L59" i="7"/>
  <c r="I59" i="7"/>
  <c r="K59" i="7"/>
  <c r="F59" i="7"/>
  <c r="T58" i="4"/>
  <c r="F58" i="4"/>
  <c r="U58" i="4"/>
  <c r="G58" i="4"/>
  <c r="G59" i="4"/>
  <c r="U59" i="4"/>
  <c r="V59" i="4"/>
  <c r="T59" i="4"/>
  <c r="P59" i="4"/>
  <c r="S59" i="4"/>
  <c r="H59" i="4"/>
  <c r="O59" i="4"/>
  <c r="Q59" i="4"/>
  <c r="J59" i="4"/>
  <c r="F59" i="4"/>
  <c r="I59" i="4"/>
  <c r="L58" i="4"/>
  <c r="Q58" i="4"/>
  <c r="H58" i="4"/>
  <c r="R58" i="4"/>
  <c r="S58" i="4"/>
  <c r="R59" i="4"/>
  <c r="N59" i="4"/>
  <c r="M59" i="4"/>
  <c r="L59" i="4"/>
  <c r="J58" i="4"/>
  <c r="M58" i="4"/>
  <c r="I58" i="4"/>
  <c r="N58" i="4"/>
  <c r="V58" i="4"/>
  <c r="K59" i="4"/>
  <c r="K58" i="4"/>
  <c r="O58" i="4"/>
  <c r="P58" i="4"/>
</calcChain>
</file>

<file path=xl/sharedStrings.xml><?xml version="1.0" encoding="utf-8"?>
<sst xmlns="http://schemas.openxmlformats.org/spreadsheetml/2006/main" count="289" uniqueCount="81">
  <si>
    <t>Age</t>
  </si>
  <si>
    <t>Policy Fee</t>
  </si>
  <si>
    <t>Mode:</t>
  </si>
  <si>
    <t>FPPTIG</t>
  </si>
  <si>
    <t>FPPTIW</t>
  </si>
  <si>
    <t>FPPTIY</t>
  </si>
  <si>
    <t>FPPTIB</t>
  </si>
  <si>
    <t>Rate</t>
  </si>
  <si>
    <t>Plan</t>
  </si>
  <si>
    <t>Premium</t>
  </si>
  <si>
    <t>Face</t>
  </si>
  <si>
    <t>Annually</t>
  </si>
  <si>
    <t>Monthly</t>
  </si>
  <si>
    <t>Mode</t>
  </si>
  <si>
    <t>Bi-weekly  </t>
  </si>
  <si>
    <t>Premium Levels</t>
  </si>
  <si>
    <t>Quarterly</t>
  </si>
  <si>
    <t/>
  </si>
  <si>
    <t>FPQTI3</t>
  </si>
  <si>
    <t>FPQTI4</t>
  </si>
  <si>
    <t>Current Premium Rate</t>
  </si>
  <si>
    <t>Issue Age</t>
  </si>
  <si>
    <t>No</t>
  </si>
  <si>
    <t>Yes</t>
  </si>
  <si>
    <t>Premium Rate</t>
  </si>
  <si>
    <t>Weekly</t>
  </si>
  <si>
    <t>Waiver of Premium Rate</t>
  </si>
  <si>
    <t>Waiver of Premium</t>
  </si>
  <si>
    <t>Quality of Life Rider Rate</t>
  </si>
  <si>
    <t>Quality of Life Rider</t>
  </si>
  <si>
    <t>Ratekey</t>
  </si>
  <si>
    <t>FPPFN3</t>
  </si>
  <si>
    <t>Plan/Option</t>
  </si>
  <si>
    <t>FPQTI3/MD</t>
  </si>
  <si>
    <t>FPQTI3/UT</t>
  </si>
  <si>
    <t>FPQTI4/MD</t>
  </si>
  <si>
    <t>FPQTI4/UT</t>
  </si>
  <si>
    <t>FPATI</t>
  </si>
  <si>
    <t>FPATI/MD</t>
  </si>
  <si>
    <t>FPATI/UT</t>
  </si>
  <si>
    <t>FPATI4</t>
  </si>
  <si>
    <t>FPATI4/MD</t>
  </si>
  <si>
    <t>FPATI4/UT</t>
  </si>
  <si>
    <t>FPPTI</t>
  </si>
  <si>
    <t>FPPTI/MD</t>
  </si>
  <si>
    <t>FPPTI/UT</t>
  </si>
  <si>
    <t>FPQTIB/3</t>
  </si>
  <si>
    <t>FPQTIB/4</t>
  </si>
  <si>
    <t>FPATB</t>
  </si>
  <si>
    <t>FPATB/4</t>
  </si>
  <si>
    <t>FPQTIY/3</t>
  </si>
  <si>
    <t>FPQTIY/4</t>
  </si>
  <si>
    <t>FPATY</t>
  </si>
  <si>
    <t>FPATY/4</t>
  </si>
  <si>
    <t>FPQTIG/3</t>
  </si>
  <si>
    <t>FPQTIG/4</t>
  </si>
  <si>
    <t>FPQTIW/3</t>
  </si>
  <si>
    <t>FPQTIW/4</t>
  </si>
  <si>
    <t>FPATW</t>
  </si>
  <si>
    <t>FPATW/4</t>
  </si>
  <si>
    <t>WPGI</t>
  </si>
  <si>
    <t>Waiver</t>
  </si>
  <si>
    <t>Rider</t>
  </si>
  <si>
    <t>WPTI</t>
  </si>
  <si>
    <t>QLTI</t>
  </si>
  <si>
    <t>FPPTDB</t>
  </si>
  <si>
    <t>CHILDG</t>
  </si>
  <si>
    <t>FPPTDG</t>
  </si>
  <si>
    <t>FPPTDW</t>
  </si>
  <si>
    <t>FPPTDY</t>
  </si>
  <si>
    <t>FPPTID</t>
  </si>
  <si>
    <t>FPPTID/MD</t>
  </si>
  <si>
    <t>FPPTID/UT</t>
  </si>
  <si>
    <t>CH0611</t>
  </si>
  <si>
    <t>FPPCI</t>
  </si>
  <si>
    <t>WPCI</t>
  </si>
  <si>
    <t>FPPCID</t>
  </si>
  <si>
    <t>CHILD</t>
  </si>
  <si>
    <t>Ninthly-Monthly</t>
  </si>
  <si>
    <t>Semi-annually</t>
  </si>
  <si>
    <t>Semi-Monthly   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</si>
</sst>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$&quot;#,##0_);[Red]\(&quot;$&quot;#,##0\)"/>
    <numFmt numFmtId="165" formatCode="&quot;$&quot;#,##0.00_);[Red]\(&quot;$&quot;#,##0.00\)"/>
    <numFmt numFmtId="166" formatCode="&quot;$&quot;#,##0.00"/>
    <numFmt numFmtId="167" formatCode="0.000"/>
    <numFmt numFmtId="168" formatCode="&quot;$&quot;#,##0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155">
    <xf numFmtId="0" fontId="0" fillId="0" borderId="0" xfId="0"/>
    <xf numFmtId="0" fontId="0" fillId="0" borderId="0" xfId="0" applyProtection="1"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164" fontId="1" fillId="0" borderId="0" xfId="0" applyNumberFormat="1" applyFont="1" applyFill="1" applyProtection="1">
      <protection locked="0"/>
    </xf>
    <xf numFmtId="2" fontId="0" fillId="0" borderId="0" xfId="0" applyNumberFormat="1" applyFill="1" applyProtection="1">
      <protection locked="0"/>
    </xf>
    <xf numFmtId="166" fontId="0" fillId="0" borderId="0" xfId="0" quotePrefix="1" applyNumberFormat="1" applyFill="1" applyProtection="1">
      <protection locked="0"/>
    </xf>
    <xf numFmtId="164" fontId="5" fillId="0" borderId="0" xfId="0" applyNumberFormat="1" applyFont="1" applyAlignment="1" applyProtection="1">
      <alignment horizontal="right" vertical="center"/>
      <protection locked="0"/>
    </xf>
    <xf numFmtId="165" fontId="5" fillId="0" borderId="0" xfId="0" applyNumberFormat="1" applyFont="1" applyAlignment="1" applyProtection="1">
      <alignment horizontal="right" vertical="center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8" fontId="4" fillId="4" borderId="8" xfId="0" applyNumberFormat="1" applyFont="1" applyFill="1" applyBorder="1" applyAlignment="1" applyProtection="1">
      <alignment horizontal="center"/>
    </xf>
    <xf numFmtId="168" fontId="0" fillId="0" borderId="0" xfId="0" quotePrefix="1" applyNumberFormat="1" applyProtection="1"/>
    <xf numFmtId="168" fontId="0" fillId="0" borderId="0" xfId="0" applyNumberFormat="1" applyProtection="1">
      <protection locked="0"/>
    </xf>
    <xf numFmtId="168" fontId="0" fillId="0" borderId="0" xfId="0" applyNumberFormat="1" applyBorder="1" applyProtection="1">
      <protection locked="0"/>
    </xf>
    <xf numFmtId="164" fontId="0" fillId="0" borderId="10" xfId="0" applyNumberFormat="1" applyFont="1" applyBorder="1" applyAlignment="1" applyProtection="1">
      <alignment horizontal="center" vertical="center"/>
      <protection locked="0"/>
    </xf>
    <xf numFmtId="164" fontId="0" fillId="0" borderId="10" xfId="0" applyNumberFormat="1" applyFont="1" applyBorder="1" applyAlignment="1" applyProtection="1">
      <alignment horizontal="center" vertical="center"/>
    </xf>
    <xf numFmtId="165" fontId="0" fillId="0" borderId="10" xfId="0" applyNumberFormat="1" applyFont="1" applyBorder="1" applyAlignment="1" applyProtection="1">
      <alignment horizontal="center" vertical="center"/>
    </xf>
    <xf numFmtId="0" fontId="0" fillId="0" borderId="14" xfId="0" applyBorder="1" applyProtection="1"/>
    <xf numFmtId="0" fontId="0" fillId="0" borderId="0" xfId="0" applyBorder="1" applyProtection="1"/>
    <xf numFmtId="167" fontId="0" fillId="0" borderId="0" xfId="0" applyNumberFormat="1" applyFont="1" applyBorder="1" applyProtection="1"/>
    <xf numFmtId="167" fontId="0" fillId="0" borderId="0" xfId="0" applyNumberFormat="1" applyBorder="1" applyProtection="1"/>
    <xf numFmtId="0" fontId="0" fillId="0" borderId="16" xfId="0" applyBorder="1" applyProtection="1"/>
    <xf numFmtId="167" fontId="0" fillId="0" borderId="17" xfId="0" applyNumberFormat="1" applyBorder="1" applyProtection="1"/>
    <xf numFmtId="0" fontId="3" fillId="0" borderId="24" xfId="0" applyFont="1" applyBorder="1" applyProtection="1"/>
    <xf numFmtId="0" fontId="3" fillId="0" borderId="24" xfId="0" applyFont="1" applyBorder="1" applyAlignment="1" applyProtection="1">
      <alignment horizontal="center"/>
    </xf>
    <xf numFmtId="0" fontId="0" fillId="6" borderId="0" xfId="0" applyFill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167" fontId="0" fillId="0" borderId="0" xfId="0" applyNumberFormat="1" applyBorder="1" applyAlignment="1" applyProtection="1">
      <alignment horizontal="right"/>
    </xf>
    <xf numFmtId="167" fontId="0" fillId="0" borderId="15" xfId="0" applyNumberFormat="1" applyBorder="1" applyAlignment="1" applyProtection="1">
      <alignment horizontal="right"/>
    </xf>
    <xf numFmtId="167" fontId="0" fillId="0" borderId="17" xfId="0" applyNumberFormat="1" applyBorder="1" applyAlignment="1" applyProtection="1">
      <alignment horizontal="right"/>
    </xf>
    <xf numFmtId="167" fontId="0" fillId="0" borderId="18" xfId="0" applyNumberFormat="1" applyBorder="1" applyAlignment="1" applyProtection="1">
      <alignment horizontal="right"/>
    </xf>
    <xf numFmtId="167" fontId="0" fillId="0" borderId="15" xfId="0" applyNumberFormat="1" applyBorder="1" applyProtection="1"/>
    <xf numFmtId="167" fontId="0" fillId="0" borderId="18" xfId="0" applyNumberFormat="1" applyBorder="1" applyProtection="1"/>
    <xf numFmtId="167" fontId="0" fillId="0" borderId="15" xfId="0" applyNumberFormat="1" applyFont="1" applyBorder="1" applyAlignment="1" applyProtection="1">
      <alignment horizontal="right"/>
    </xf>
    <xf numFmtId="167" fontId="0" fillId="0" borderId="18" xfId="0" applyNumberFormat="1" applyFont="1" applyBorder="1" applyAlignment="1" applyProtection="1">
      <alignment horizontal="right"/>
    </xf>
    <xf numFmtId="166" fontId="6" fillId="0" borderId="0" xfId="0" quotePrefix="1" applyNumberFormat="1" applyFont="1" applyAlignment="1" applyProtection="1">
      <alignment horizontal="right"/>
    </xf>
    <xf numFmtId="0" fontId="6" fillId="0" borderId="0" xfId="0" applyFont="1" applyProtection="1">
      <protection locked="0"/>
    </xf>
    <xf numFmtId="164" fontId="7" fillId="2" borderId="0" xfId="0" applyNumberFormat="1" applyFont="1" applyFill="1" applyAlignment="1" applyProtection="1">
      <alignment horizontal="center" vertical="center" wrapText="1"/>
      <protection locked="0"/>
    </xf>
    <xf numFmtId="0" fontId="1" fillId="6" borderId="0" xfId="0" applyFont="1" applyFill="1" applyAlignment="1" applyProtection="1">
      <alignment horizontal="center" vertical="center" wrapText="1"/>
      <protection locked="0"/>
    </xf>
    <xf numFmtId="0" fontId="6" fillId="6" borderId="0" xfId="0" applyFont="1" applyFill="1" applyProtection="1">
      <protection locked="0"/>
    </xf>
    <xf numFmtId="0" fontId="0" fillId="7" borderId="0" xfId="0" applyFill="1" applyProtection="1">
      <protection locked="0"/>
    </xf>
    <xf numFmtId="0" fontId="6" fillId="0" borderId="0" xfId="0" applyFont="1" applyFill="1" applyAlignment="1" applyProtection="1">
      <alignment horizontal="right" vertical="center" wrapText="1"/>
    </xf>
    <xf numFmtId="164" fontId="1" fillId="7" borderId="0" xfId="0" applyNumberFormat="1" applyFont="1" applyFill="1" applyProtection="1">
      <protection locked="0"/>
    </xf>
    <xf numFmtId="166" fontId="0" fillId="7" borderId="0" xfId="0" quotePrefix="1" applyNumberFormat="1" applyFill="1" applyProtection="1">
      <protection locked="0"/>
    </xf>
    <xf numFmtId="2" fontId="0" fillId="7" borderId="0" xfId="0" applyNumberFormat="1" applyFill="1" applyProtection="1">
      <protection locked="0"/>
    </xf>
    <xf numFmtId="164" fontId="1" fillId="6" borderId="0" xfId="0" applyNumberFormat="1" applyFont="1" applyFill="1" applyProtection="1">
      <protection locked="0"/>
    </xf>
    <xf numFmtId="164" fontId="1" fillId="6" borderId="0" xfId="0" applyNumberFormat="1" applyFont="1" applyFill="1" applyAlignment="1" applyProtection="1">
      <alignment horizontal="center" vertical="center" wrapText="1"/>
      <protection locked="0"/>
    </xf>
    <xf numFmtId="166" fontId="0" fillId="6" borderId="0" xfId="0" quotePrefix="1" applyNumberFormat="1" applyFill="1" applyProtection="1">
      <protection locked="0"/>
    </xf>
    <xf numFmtId="0" fontId="0" fillId="7" borderId="14" xfId="0" applyFill="1" applyBorder="1" applyAlignment="1" applyProtection="1">
      <alignment horizontal="center"/>
      <protection locked="0"/>
    </xf>
    <xf numFmtId="168" fontId="0" fillId="7" borderId="14" xfId="0" applyNumberFormat="1" applyFill="1" applyBorder="1" applyAlignment="1" applyProtection="1">
      <alignment horizontal="center"/>
      <protection locked="0"/>
    </xf>
    <xf numFmtId="0" fontId="0" fillId="7" borderId="14" xfId="0" applyFill="1" applyBorder="1" applyAlignment="1" applyProtection="1">
      <alignment horizontal="center"/>
    </xf>
    <xf numFmtId="166" fontId="0" fillId="7" borderId="14" xfId="0" applyNumberFormat="1" applyFill="1" applyBorder="1" applyAlignment="1" applyProtection="1">
      <alignment horizontal="center"/>
    </xf>
    <xf numFmtId="167" fontId="6" fillId="0" borderId="0" xfId="0" applyNumberFormat="1" applyFont="1" applyFill="1" applyAlignment="1" applyProtection="1">
      <alignment horizontal="right" vertical="center" wrapText="1"/>
    </xf>
    <xf numFmtId="167" fontId="6" fillId="0" borderId="0" xfId="0" applyNumberFormat="1" applyFont="1" applyAlignment="1" applyProtection="1">
      <alignment horizontal="right"/>
    </xf>
    <xf numFmtId="166" fontId="4" fillId="4" borderId="14" xfId="0" applyNumberFormat="1" applyFont="1" applyFill="1" applyBorder="1" applyAlignment="1" applyProtection="1">
      <alignment horizontal="center"/>
    </xf>
    <xf numFmtId="0" fontId="0" fillId="7" borderId="3" xfId="0" applyFill="1" applyBorder="1" applyAlignment="1" applyProtection="1">
      <alignment horizontal="center"/>
      <protection locked="0"/>
    </xf>
    <xf numFmtId="0" fontId="0" fillId="7" borderId="5" xfId="0" applyFill="1" applyBorder="1" applyAlignment="1" applyProtection="1">
      <alignment horizontal="center"/>
      <protection locked="0"/>
    </xf>
    <xf numFmtId="166" fontId="0" fillId="7" borderId="5" xfId="0" applyNumberFormat="1" applyFill="1" applyBorder="1" applyAlignment="1" applyProtection="1">
      <alignment horizontal="center"/>
      <protection locked="0"/>
    </xf>
    <xf numFmtId="0" fontId="0" fillId="7" borderId="5" xfId="0" applyFill="1" applyBorder="1" applyAlignment="1" applyProtection="1">
      <alignment horizontal="center"/>
    </xf>
    <xf numFmtId="166" fontId="0" fillId="7" borderId="5" xfId="0" applyNumberFormat="1" applyFill="1" applyBorder="1" applyAlignment="1" applyProtection="1">
      <alignment horizontal="center"/>
    </xf>
    <xf numFmtId="168" fontId="0" fillId="6" borderId="0" xfId="0" applyNumberFormat="1" applyFill="1" applyProtection="1">
      <protection locked="0"/>
    </xf>
    <xf numFmtId="168" fontId="0" fillId="6" borderId="0" xfId="0" applyNumberFormat="1" applyFill="1" applyBorder="1" applyProtection="1">
      <protection locked="0"/>
    </xf>
    <xf numFmtId="0" fontId="2" fillId="0" borderId="9" xfId="0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0" fillId="0" borderId="10" xfId="0" applyFont="1" applyBorder="1" applyAlignment="1" applyProtection="1">
      <alignment horizontal="center" vertical="center"/>
      <protection locked="0"/>
    </xf>
    <xf numFmtId="164" fontId="0" fillId="0" borderId="11" xfId="0" applyNumberFormat="1" applyFont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/>
    <xf numFmtId="0" fontId="0" fillId="0" borderId="0" xfId="0" applyBorder="1"/>
    <xf numFmtId="0" fontId="0" fillId="0" borderId="4" xfId="0" applyBorder="1"/>
    <xf numFmtId="0" fontId="2" fillId="0" borderId="22" xfId="0" applyFont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2" fillId="0" borderId="13" xfId="0" applyFont="1" applyBorder="1" applyAlignment="1" applyProtection="1"/>
    <xf numFmtId="0" fontId="3" fillId="0" borderId="16" xfId="0" applyFont="1" applyBorder="1" applyAlignment="1" applyProtection="1">
      <alignment horizontal="center"/>
    </xf>
    <xf numFmtId="0" fontId="2" fillId="0" borderId="23" xfId="0" applyFont="1" applyBorder="1" applyAlignment="1" applyProtection="1">
      <alignment horizontal="center"/>
    </xf>
    <xf numFmtId="0" fontId="3" fillId="0" borderId="15" xfId="0" applyFont="1" applyBorder="1" applyAlignment="1" applyProtection="1">
      <alignment horizontal="center"/>
    </xf>
    <xf numFmtId="0" fontId="2" fillId="0" borderId="22" xfId="0" applyFont="1" applyBorder="1" applyAlignment="1" applyProtection="1"/>
    <xf numFmtId="167" fontId="0" fillId="0" borderId="13" xfId="0" applyNumberFormat="1" applyBorder="1" applyAlignment="1" applyProtection="1">
      <alignment horizontal="right"/>
    </xf>
    <xf numFmtId="0" fontId="0" fillId="0" borderId="14" xfId="0" applyFont="1" applyBorder="1" applyProtection="1"/>
    <xf numFmtId="0" fontId="3" fillId="0" borderId="23" xfId="0" applyFont="1" applyBorder="1" applyAlignment="1" applyProtection="1">
      <alignment horizontal="center"/>
    </xf>
    <xf numFmtId="164" fontId="1" fillId="2" borderId="0" xfId="0" applyNumberFormat="1" applyFont="1" applyFill="1" applyAlignment="1" applyProtection="1">
      <alignment horizontal="center" vertical="center" wrapText="1"/>
      <protection locked="0"/>
    </xf>
    <xf numFmtId="0" fontId="10" fillId="7" borderId="0" xfId="0" applyFont="1" applyFill="1" applyAlignment="1" applyProtection="1">
      <alignment horizontal="center"/>
    </xf>
    <xf numFmtId="0" fontId="0" fillId="7" borderId="0" xfId="0" applyFill="1" applyAlignment="1" applyProtection="1">
      <alignment horizontal="center"/>
      <protection locked="0"/>
    </xf>
    <xf numFmtId="0" fontId="0" fillId="0" borderId="0" xfId="0" applyFont="1" applyBorder="1" applyProtection="1"/>
    <xf numFmtId="0" fontId="0" fillId="7" borderId="30" xfId="0" applyFill="1" applyBorder="1" applyProtection="1">
      <protection locked="0"/>
    </xf>
    <xf numFmtId="0" fontId="0" fillId="7" borderId="13" xfId="0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0" fillId="7" borderId="15" xfId="0" applyFill="1" applyBorder="1" applyProtection="1">
      <protection locked="0"/>
    </xf>
    <xf numFmtId="166" fontId="6" fillId="0" borderId="0" xfId="0" applyNumberFormat="1" applyFont="1" applyFill="1" applyAlignment="1" applyProtection="1">
      <alignment horizontal="right" vertical="center" wrapText="1"/>
    </xf>
    <xf numFmtId="0" fontId="6" fillId="0" borderId="0" xfId="0" applyNumberFormat="1" applyFont="1" applyFill="1" applyAlignment="1" applyProtection="1">
      <alignment horizontal="right" vertical="center" wrapText="1"/>
    </xf>
    <xf numFmtId="0" fontId="0" fillId="0" borderId="0" xfId="0" applyFont="1" applyBorder="1" applyProtection="1">
      <protection locked="0"/>
    </xf>
    <xf numFmtId="0" fontId="0" fillId="7" borderId="17" xfId="0" applyFill="1" applyBorder="1" applyProtection="1">
      <protection locked="0"/>
    </xf>
    <xf numFmtId="0" fontId="2" fillId="0" borderId="22" xfId="0" applyFont="1" applyBorder="1" applyProtection="1"/>
    <xf numFmtId="0" fontId="6" fillId="0" borderId="12" xfId="0" applyFont="1" applyBorder="1" applyProtection="1"/>
    <xf numFmtId="0" fontId="6" fillId="0" borderId="30" xfId="0" applyFont="1" applyBorder="1" applyProtection="1"/>
    <xf numFmtId="0" fontId="6" fillId="0" borderId="13" xfId="0" applyFont="1" applyBorder="1" applyProtection="1"/>
    <xf numFmtId="0" fontId="6" fillId="0" borderId="14" xfId="0" applyFont="1" applyBorder="1" applyProtection="1"/>
    <xf numFmtId="0" fontId="6" fillId="0" borderId="0" xfId="0" applyFont="1" applyBorder="1" applyProtection="1"/>
    <xf numFmtId="0" fontId="6" fillId="0" borderId="15" xfId="0" applyFont="1" applyBorder="1" applyProtection="1"/>
    <xf numFmtId="0" fontId="0" fillId="0" borderId="15" xfId="0" applyFont="1" applyBorder="1" applyProtection="1"/>
    <xf numFmtId="0" fontId="0" fillId="0" borderId="15" xfId="0" applyBorder="1" applyProtection="1"/>
    <xf numFmtId="0" fontId="0" fillId="0" borderId="12" xfId="0" applyBorder="1" applyProtection="1"/>
    <xf numFmtId="0" fontId="0" fillId="0" borderId="16" xfId="0" applyFont="1" applyBorder="1" applyProtection="1"/>
    <xf numFmtId="0" fontId="0" fillId="0" borderId="17" xfId="0" applyFont="1" applyBorder="1" applyProtection="1"/>
    <xf numFmtId="0" fontId="0" fillId="0" borderId="18" xfId="0" applyFont="1" applyBorder="1" applyProtection="1"/>
    <xf numFmtId="0" fontId="2" fillId="7" borderId="22" xfId="0" applyFont="1" applyFill="1" applyBorder="1" applyAlignment="1" applyProtection="1">
      <alignment horizontal="center"/>
      <protection locked="0"/>
    </xf>
    <xf numFmtId="167" fontId="0" fillId="7" borderId="0" xfId="0" applyNumberFormat="1" applyFill="1" applyAlignment="1" applyProtection="1">
      <alignment horizontal="right"/>
      <protection locked="0"/>
    </xf>
    <xf numFmtId="167" fontId="0" fillId="7" borderId="0" xfId="0" applyNumberFormat="1" applyFill="1" applyProtection="1">
      <protection locked="0"/>
    </xf>
    <xf numFmtId="167" fontId="0" fillId="7" borderId="0" xfId="0" applyNumberFormat="1" applyFill="1" applyBorder="1" applyProtection="1"/>
    <xf numFmtId="167" fontId="0" fillId="0" borderId="0" xfId="0" applyNumberFormat="1" applyFill="1" applyBorder="1" applyProtection="1"/>
    <xf numFmtId="167" fontId="0" fillId="0" borderId="0" xfId="0" applyNumberFormat="1" applyFont="1" applyFill="1" applyBorder="1" applyProtection="1">
      <protection locked="0"/>
    </xf>
    <xf numFmtId="167" fontId="0" fillId="0" borderId="0" xfId="0" applyNumberFormat="1" applyFill="1" applyBorder="1" applyProtection="1">
      <protection locked="0"/>
    </xf>
    <xf numFmtId="167" fontId="0" fillId="0" borderId="17" xfId="0" applyNumberFormat="1" applyFill="1" applyBorder="1" applyProtection="1">
      <protection locked="0"/>
    </xf>
    <xf numFmtId="0" fontId="0" fillId="0" borderId="15" xfId="0" applyBorder="1" applyProtection="1">
      <protection locked="0"/>
    </xf>
    <xf numFmtId="0" fontId="0" fillId="7" borderId="0" xfId="0" applyFill="1" applyBorder="1" applyProtection="1"/>
    <xf numFmtId="0" fontId="0" fillId="7" borderId="17" xfId="0" applyFill="1" applyBorder="1" applyProtection="1"/>
    <xf numFmtId="0" fontId="0" fillId="0" borderId="14" xfId="0" applyFont="1" applyFill="1" applyBorder="1" applyProtection="1"/>
    <xf numFmtId="0" fontId="0" fillId="0" borderId="14" xfId="0" applyFill="1" applyBorder="1" applyProtection="1"/>
    <xf numFmtId="0" fontId="0" fillId="0" borderId="16" xfId="0" applyFill="1" applyBorder="1" applyProtection="1"/>
    <xf numFmtId="0" fontId="2" fillId="0" borderId="10" xfId="0" applyFont="1" applyBorder="1" applyAlignment="1" applyProtection="1">
      <alignment vertical="center"/>
    </xf>
    <xf numFmtId="164" fontId="7" fillId="3" borderId="0" xfId="0" applyNumberFormat="1" applyFont="1" applyFill="1" applyAlignment="1" applyProtection="1">
      <alignment horizontal="center" vertical="center"/>
      <protection locked="0"/>
    </xf>
    <xf numFmtId="0" fontId="7" fillId="5" borderId="0" xfId="0" applyFont="1" applyFill="1" applyAlignment="1" applyProtection="1">
      <alignment horizontal="center" vertical="center"/>
      <protection locked="0"/>
    </xf>
    <xf numFmtId="164" fontId="7" fillId="5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 vertical="center" wrapText="1"/>
      <protection locked="0"/>
    </xf>
    <xf numFmtId="0" fontId="0" fillId="7" borderId="0" xfId="0" applyFill="1" applyAlignment="1" applyProtection="1">
      <alignment horizontal="center"/>
      <protection locked="0"/>
    </xf>
    <xf numFmtId="0" fontId="9" fillId="7" borderId="0" xfId="0" applyFont="1" applyFill="1" applyAlignment="1" applyProtection="1">
      <alignment horizontal="center"/>
      <protection locked="0"/>
    </xf>
    <xf numFmtId="165" fontId="7" fillId="5" borderId="0" xfId="0" applyNumberFormat="1" applyFont="1" applyFill="1" applyAlignment="1" applyProtection="1">
      <alignment horizontal="center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locked="0"/>
    </xf>
    <xf numFmtId="0" fontId="0" fillId="7" borderId="6" xfId="0" applyFill="1" applyBorder="1" applyAlignment="1" applyProtection="1">
      <alignment horizontal="center"/>
      <protection locked="0"/>
    </xf>
    <xf numFmtId="0" fontId="0" fillId="7" borderId="7" xfId="0" applyFill="1" applyBorder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0" fillId="7" borderId="2" xfId="0" applyFill="1" applyBorder="1" applyAlignment="1" applyProtection="1">
      <alignment horizontal="center"/>
      <protection locked="0"/>
    </xf>
    <xf numFmtId="0" fontId="0" fillId="7" borderId="4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7" borderId="15" xfId="0" applyFill="1" applyBorder="1" applyAlignment="1" applyProtection="1">
      <alignment horizontal="center"/>
      <protection locked="0"/>
    </xf>
    <xf numFmtId="0" fontId="0" fillId="7" borderId="26" xfId="0" applyFill="1" applyBorder="1" applyAlignment="1" applyProtection="1">
      <alignment horizontal="center"/>
      <protection locked="0"/>
    </xf>
    <xf numFmtId="0" fontId="0" fillId="7" borderId="25" xfId="0" applyFill="1" applyBorder="1" applyAlignment="1" applyProtection="1">
      <alignment horizontal="center"/>
      <protection locked="0"/>
    </xf>
    <xf numFmtId="0" fontId="2" fillId="0" borderId="19" xfId="0" applyFont="1" applyBorder="1" applyAlignment="1" applyProtection="1">
      <alignment horizontal="center"/>
    </xf>
    <xf numFmtId="0" fontId="2" fillId="0" borderId="20" xfId="0" applyFont="1" applyBorder="1" applyAlignment="1" applyProtection="1">
      <alignment horizontal="center"/>
    </xf>
    <xf numFmtId="0" fontId="2" fillId="0" borderId="21" xfId="0" applyFont="1" applyBorder="1" applyAlignment="1" applyProtection="1">
      <alignment horizontal="center"/>
    </xf>
    <xf numFmtId="0" fontId="2" fillId="0" borderId="16" xfId="0" applyFont="1" applyBorder="1" applyAlignment="1" applyProtection="1">
      <alignment horizontal="center"/>
    </xf>
    <xf numFmtId="0" fontId="2" fillId="0" borderId="17" xfId="0" applyFont="1" applyBorder="1" applyAlignment="1" applyProtection="1">
      <alignment horizontal="center"/>
    </xf>
    <xf numFmtId="0" fontId="2" fillId="0" borderId="18" xfId="0" applyFont="1" applyBorder="1" applyAlignment="1" applyProtection="1">
      <alignment horizontal="center"/>
    </xf>
    <xf numFmtId="0" fontId="2" fillId="0" borderId="27" xfId="0" applyFont="1" applyBorder="1" applyAlignment="1" applyProtection="1">
      <alignment horizontal="center"/>
    </xf>
    <xf numFmtId="0" fontId="2" fillId="0" borderId="28" xfId="0" applyFont="1" applyBorder="1" applyAlignment="1" applyProtection="1">
      <alignment horizontal="center"/>
    </xf>
    <xf numFmtId="0" fontId="2" fillId="0" borderId="29" xfId="0" applyFont="1" applyBorder="1" applyAlignment="1" applyProtection="1">
      <alignment horizontal="center"/>
    </xf>
    <xf numFmtId="167" fontId="6" fillId="0" borderId="0" xfId="0" applyNumberFormat="1" applyFont="1" applyFill="1" applyAlignment="1" applyProtection="1">
      <alignment horizontal="right"/>
    </xf>
    <xf numFmtId="166" fontId="6" fillId="0" borderId="0" xfId="0" quotePrefix="1" applyNumberFormat="1" applyFont="1" applyFill="1" applyAlignment="1" applyProtection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96"/>
  <sheetViews>
    <sheetView tabSelected="1"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D2" sqref="D2"/>
    </sheetView>
  </sheetViews>
  <sheetFormatPr baseColWidth="10" defaultColWidth="0" defaultRowHeight="14" zeroHeight="1" x14ac:dyDescent="0"/>
  <cols>
    <col min="1" max="1" width="7.83203125" style="1" customWidth="1"/>
    <col min="2" max="2" width="12.6640625" style="1" customWidth="1"/>
    <col min="3" max="3" width="11" style="1" customWidth="1"/>
    <col min="4" max="4" width="13.1640625" style="1" customWidth="1"/>
    <col min="5" max="5" width="10" style="1" customWidth="1"/>
    <col min="6" max="6" width="15.5" style="1" customWidth="1"/>
    <col min="7" max="8" width="15.33203125" style="1" customWidth="1"/>
    <col min="9" max="9" width="15.5" style="1" customWidth="1"/>
    <col min="10" max="10" width="15.6640625" style="1" customWidth="1"/>
    <col min="11" max="11" width="15.83203125" style="1" customWidth="1"/>
    <col min="12" max="12" width="15.6640625" style="1" customWidth="1"/>
    <col min="13" max="13" width="15.33203125" style="1" customWidth="1"/>
    <col min="14" max="18" width="17.33203125" style="1" customWidth="1"/>
    <col min="19" max="19" width="16" style="1" customWidth="1"/>
    <col min="20" max="21" width="15.33203125" style="1" customWidth="1"/>
    <col min="22" max="22" width="15.5" style="1" customWidth="1"/>
    <col min="23" max="23" width="2.5" style="30" customWidth="1"/>
    <col min="24" max="16384" width="9.1640625" style="1" hidden="1"/>
  </cols>
  <sheetData>
    <row r="1" spans="1:23">
      <c r="A1" s="131" t="s">
        <v>8</v>
      </c>
      <c r="B1" s="131"/>
      <c r="C1" s="88" t="s">
        <v>56</v>
      </c>
      <c r="D1" s="88"/>
      <c r="E1" s="45"/>
      <c r="F1" s="127" t="s">
        <v>10</v>
      </c>
      <c r="G1" s="127" t="s">
        <v>10</v>
      </c>
      <c r="H1" s="127" t="s">
        <v>10</v>
      </c>
      <c r="I1" s="127" t="s">
        <v>10</v>
      </c>
      <c r="J1" s="127" t="s">
        <v>10</v>
      </c>
      <c r="K1" s="127" t="s">
        <v>10</v>
      </c>
      <c r="L1" s="127" t="s">
        <v>10</v>
      </c>
      <c r="M1" s="127" t="s">
        <v>10</v>
      </c>
      <c r="N1" s="127" t="s">
        <v>10</v>
      </c>
      <c r="O1" s="127" t="s">
        <v>10</v>
      </c>
      <c r="P1" s="127" t="s">
        <v>10</v>
      </c>
      <c r="Q1" s="127" t="s">
        <v>10</v>
      </c>
      <c r="R1" s="127" t="s">
        <v>10</v>
      </c>
      <c r="S1" s="127" t="s">
        <v>10</v>
      </c>
      <c r="T1" s="127" t="s">
        <v>10</v>
      </c>
      <c r="U1" s="127" t="s">
        <v>10</v>
      </c>
      <c r="V1" s="127" t="s">
        <v>10</v>
      </c>
    </row>
    <row r="2" spans="1:23">
      <c r="A2" s="131" t="s">
        <v>2</v>
      </c>
      <c r="B2" s="131"/>
      <c r="C2" s="88">
        <v>52</v>
      </c>
      <c r="D2" s="88"/>
      <c r="E2" s="45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</row>
    <row r="3" spans="1:23" ht="15">
      <c r="A3" s="132" t="s">
        <v>27</v>
      </c>
      <c r="B3" s="132"/>
      <c r="C3" s="88" t="s">
        <v>23</v>
      </c>
      <c r="D3" s="87" t="str">
        <f>IF(AND($C$3="Yes", ISNA(VLOOKUP(Plan, Table, 2,FALSE))), "=&gt; Not Available", "")</f>
        <v/>
      </c>
      <c r="E3" s="45"/>
      <c r="F3" s="128">
        <v>10000</v>
      </c>
      <c r="G3" s="126">
        <v>20000</v>
      </c>
      <c r="H3" s="126">
        <v>25000</v>
      </c>
      <c r="I3" s="126">
        <v>30000</v>
      </c>
      <c r="J3" s="126">
        <v>40000</v>
      </c>
      <c r="K3" s="126">
        <v>50000</v>
      </c>
      <c r="L3" s="126">
        <v>60000</v>
      </c>
      <c r="M3" s="126">
        <v>70000</v>
      </c>
      <c r="N3" s="126">
        <v>75000</v>
      </c>
      <c r="O3" s="126">
        <v>80000</v>
      </c>
      <c r="P3" s="126">
        <v>90000</v>
      </c>
      <c r="Q3" s="126">
        <v>100000</v>
      </c>
      <c r="R3" s="126">
        <v>110000</v>
      </c>
      <c r="S3" s="126">
        <v>125000</v>
      </c>
      <c r="T3" s="126">
        <v>130000</v>
      </c>
      <c r="U3" s="126">
        <v>140000</v>
      </c>
      <c r="V3" s="126">
        <v>150000</v>
      </c>
    </row>
    <row r="4" spans="1:23">
      <c r="A4" s="131" t="s">
        <v>29</v>
      </c>
      <c r="B4" s="131"/>
      <c r="C4" s="88" t="s">
        <v>23</v>
      </c>
      <c r="D4" s="87" t="str">
        <f>IF(AND($C$4="Yes", ISNA(VLOOKUP(Plan, Table, 3,FALSE))), "=&gt; Not Available", "")</f>
        <v/>
      </c>
      <c r="E4" s="45"/>
      <c r="F4" s="128"/>
      <c r="G4" s="126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6"/>
      <c r="U4" s="126"/>
      <c r="V4" s="126"/>
    </row>
    <row r="5" spans="1:23" s="3" customFormat="1" ht="18.75" customHeight="1">
      <c r="A5" s="129" t="s">
        <v>0</v>
      </c>
      <c r="B5" s="129" t="s">
        <v>24</v>
      </c>
      <c r="C5" s="130" t="s">
        <v>26</v>
      </c>
      <c r="D5" s="130" t="s">
        <v>28</v>
      </c>
      <c r="E5" s="129" t="s">
        <v>1</v>
      </c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3"/>
    </row>
    <row r="6" spans="1:23" s="3" customFormat="1" ht="15" customHeight="1">
      <c r="A6" s="129"/>
      <c r="B6" s="129"/>
      <c r="C6" s="130"/>
      <c r="D6" s="130"/>
      <c r="E6" s="129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43"/>
    </row>
    <row r="7" spans="1:23" s="41" customFormat="1">
      <c r="A7" s="95">
        <f>18</f>
        <v>18</v>
      </c>
      <c r="B7" s="57">
        <f t="shared" ref="B7:B38" si="0">IF(AND(MATCH(VLOOKUP(Plan,Table,4,FALSE),PremiumRatekey,FALSE)&lt;=3, $A7&lt;&gt;20),"", VLOOKUP($A7,PremiumRate,MATCH(VLOOKUP(Plan,Table,4,FALSE),PremiumRatekey,FALSE)+1,FALSE))</f>
        <v>3.73</v>
      </c>
      <c r="C7" s="58">
        <f t="shared" ref="C7:C20" si="1">IF(OR($C$3&lt;&gt;"Yes",$B7="", $A7&lt;18, $A7&gt;55, ISNA(VLOOKUP(Plan, Table, 2,FALSE))), "",VLOOKUP($A7, WaiverOfPremiumRate, MATCH(VLOOKUP(Plan, Table, 2,FALSE),WOPRatekey, FALSE)+1, FALSE))</f>
        <v>0.14000000000000001</v>
      </c>
      <c r="D7" s="58">
        <f t="shared" ref="D7:D20" si="2">IF(OR($C$4&lt;&gt;"Yes",$B7="", $A7&lt;18, $A7&gt;65, ISNA(VLOOKUP(Plan, Table, 3,FALSE))), "", VLOOKUP($A7, QualityofLifeRiderRate, MATCH(VLOOKUP(Plan, Table, 3,FALSE),RiderRatekey, FALSE)+1, FALSE))</f>
        <v>0.14000000000000001</v>
      </c>
      <c r="E7" s="94">
        <f>IF(OR($B7="", VLOOKUP(Plan,Table,4,FALSE)={"CHILD","CH0611","CHILDG"}), "",52)</f>
        <v>52</v>
      </c>
      <c r="F7" s="40">
        <f t="shared" ref="F7:O8" si="3">IF($B7="", "", ROUND((ROUND($B7*F$3/1000,2)+IF($C7&lt;&gt;"", ROUND($C7*F$3/1000,2), 0)+IF($D7&lt;&gt;"", ROUND($D7*F$3/1000,2), 0)+IF($E7&lt;&gt;"", $E7, 0))/mode,2))</f>
        <v>1.77</v>
      </c>
      <c r="G7" s="40">
        <f t="shared" si="3"/>
        <v>2.54</v>
      </c>
      <c r="H7" s="40">
        <f t="shared" si="3"/>
        <v>2.93</v>
      </c>
      <c r="I7" s="40">
        <f t="shared" si="3"/>
        <v>3.31</v>
      </c>
      <c r="J7" s="40">
        <f t="shared" si="3"/>
        <v>4.08</v>
      </c>
      <c r="K7" s="40">
        <f t="shared" si="3"/>
        <v>4.8600000000000003</v>
      </c>
      <c r="L7" s="40">
        <f t="shared" si="3"/>
        <v>5.63</v>
      </c>
      <c r="M7" s="40">
        <f t="shared" si="3"/>
        <v>6.4</v>
      </c>
      <c r="N7" s="40">
        <f t="shared" si="3"/>
        <v>6.78</v>
      </c>
      <c r="O7" s="40">
        <f t="shared" si="3"/>
        <v>7.17</v>
      </c>
      <c r="P7" s="40">
        <f t="shared" ref="P7:V8" si="4">IF($B7="", "", ROUND((ROUND($B7*P$3/1000,2)+IF($C7&lt;&gt;"", ROUND($C7*P$3/1000,2), 0)+IF($D7&lt;&gt;"", ROUND($D7*P$3/1000,2), 0)+IF($E7&lt;&gt;"", $E7, 0))/mode,2))</f>
        <v>7.94</v>
      </c>
      <c r="Q7" s="40">
        <f t="shared" si="4"/>
        <v>8.7100000000000009</v>
      </c>
      <c r="R7" s="40">
        <f t="shared" si="4"/>
        <v>9.48</v>
      </c>
      <c r="S7" s="40">
        <f t="shared" si="4"/>
        <v>10.64</v>
      </c>
      <c r="T7" s="40">
        <f t="shared" si="4"/>
        <v>11.03</v>
      </c>
      <c r="U7" s="40">
        <f t="shared" si="4"/>
        <v>11.8</v>
      </c>
      <c r="V7" s="40">
        <f t="shared" si="4"/>
        <v>12.57</v>
      </c>
      <c r="W7" s="44"/>
    </row>
    <row r="8" spans="1:23" s="41" customFormat="1">
      <c r="A8" s="95">
        <f t="shared" ref="A8:A54" si="5">A7+1</f>
        <v>19</v>
      </c>
      <c r="B8" s="57">
        <f t="shared" si="0"/>
        <v>3.73</v>
      </c>
      <c r="C8" s="58">
        <f t="shared" si="1"/>
        <v>0.14000000000000001</v>
      </c>
      <c r="D8" s="58">
        <f t="shared" si="2"/>
        <v>0.14000000000000001</v>
      </c>
      <c r="E8" s="94">
        <f>IF(OR($B8="", VLOOKUP(Plan,Table,4,FALSE)={"CHILD","CH0611","CHILDG"}), "",52)</f>
        <v>52</v>
      </c>
      <c r="F8" s="40">
        <f t="shared" si="3"/>
        <v>1.77</v>
      </c>
      <c r="G8" s="40">
        <f t="shared" si="3"/>
        <v>2.54</v>
      </c>
      <c r="H8" s="40">
        <f t="shared" si="3"/>
        <v>2.93</v>
      </c>
      <c r="I8" s="40">
        <f t="shared" si="3"/>
        <v>3.31</v>
      </c>
      <c r="J8" s="40">
        <f t="shared" si="3"/>
        <v>4.08</v>
      </c>
      <c r="K8" s="40">
        <f t="shared" si="3"/>
        <v>4.8600000000000003</v>
      </c>
      <c r="L8" s="40">
        <f t="shared" si="3"/>
        <v>5.63</v>
      </c>
      <c r="M8" s="40">
        <f t="shared" si="3"/>
        <v>6.4</v>
      </c>
      <c r="N8" s="40">
        <f t="shared" si="3"/>
        <v>6.78</v>
      </c>
      <c r="O8" s="40">
        <f t="shared" si="3"/>
        <v>7.17</v>
      </c>
      <c r="P8" s="40">
        <f t="shared" si="4"/>
        <v>7.94</v>
      </c>
      <c r="Q8" s="40">
        <f t="shared" si="4"/>
        <v>8.7100000000000009</v>
      </c>
      <c r="R8" s="40">
        <f t="shared" si="4"/>
        <v>9.48</v>
      </c>
      <c r="S8" s="40">
        <f t="shared" si="4"/>
        <v>10.64</v>
      </c>
      <c r="T8" s="40">
        <f t="shared" si="4"/>
        <v>11.03</v>
      </c>
      <c r="U8" s="40">
        <f t="shared" si="4"/>
        <v>11.8</v>
      </c>
      <c r="V8" s="40">
        <f t="shared" si="4"/>
        <v>12.57</v>
      </c>
      <c r="W8" s="44"/>
    </row>
    <row r="9" spans="1:23" s="41" customFormat="1">
      <c r="A9" s="95">
        <f t="shared" si="5"/>
        <v>20</v>
      </c>
      <c r="B9" s="57">
        <f t="shared" si="0"/>
        <v>3.73</v>
      </c>
      <c r="C9" s="58">
        <f t="shared" si="1"/>
        <v>0.14000000000000001</v>
      </c>
      <c r="D9" s="58">
        <f t="shared" si="2"/>
        <v>0.14000000000000001</v>
      </c>
      <c r="E9" s="94">
        <f>IF(OR($B9="", VLOOKUP(Plan,Table,4,FALSE)={"CHILD","CH0611","CHILDG"}), "",52)</f>
        <v>52</v>
      </c>
      <c r="F9" s="40">
        <f t="shared" ref="F9:O18" si="6">IF($B9="", "", ROUND((ROUND($B9*F$3/1000,2)+IF($C9&lt;&gt;"", ROUND($C9*F$3/1000,2), 0)+IF($D9&lt;&gt;"", ROUND($D9*F$3/1000,2), 0)+IF($E9&lt;&gt;"", $E9, 0))/mode,2))</f>
        <v>1.77</v>
      </c>
      <c r="G9" s="40">
        <f t="shared" si="6"/>
        <v>2.54</v>
      </c>
      <c r="H9" s="40">
        <f t="shared" si="6"/>
        <v>2.93</v>
      </c>
      <c r="I9" s="40">
        <f t="shared" si="6"/>
        <v>3.31</v>
      </c>
      <c r="J9" s="40">
        <f t="shared" si="6"/>
        <v>4.08</v>
      </c>
      <c r="K9" s="40">
        <f t="shared" si="6"/>
        <v>4.8600000000000003</v>
      </c>
      <c r="L9" s="40">
        <f t="shared" si="6"/>
        <v>5.63</v>
      </c>
      <c r="M9" s="40">
        <f t="shared" si="6"/>
        <v>6.4</v>
      </c>
      <c r="N9" s="40">
        <f t="shared" si="6"/>
        <v>6.78</v>
      </c>
      <c r="O9" s="40">
        <f t="shared" si="6"/>
        <v>7.17</v>
      </c>
      <c r="P9" s="40">
        <f t="shared" ref="P9:V18" si="7">IF($B9="", "", ROUND((ROUND($B9*P$3/1000,2)+IF($C9&lt;&gt;"", ROUND($C9*P$3/1000,2), 0)+IF($D9&lt;&gt;"", ROUND($D9*P$3/1000,2), 0)+IF($E9&lt;&gt;"", $E9, 0))/mode,2))</f>
        <v>7.94</v>
      </c>
      <c r="Q9" s="40">
        <f t="shared" si="7"/>
        <v>8.7100000000000009</v>
      </c>
      <c r="R9" s="40">
        <f t="shared" si="7"/>
        <v>9.48</v>
      </c>
      <c r="S9" s="40">
        <f t="shared" si="7"/>
        <v>10.64</v>
      </c>
      <c r="T9" s="40">
        <f t="shared" si="7"/>
        <v>11.03</v>
      </c>
      <c r="U9" s="40">
        <f t="shared" si="7"/>
        <v>11.8</v>
      </c>
      <c r="V9" s="40">
        <f t="shared" si="7"/>
        <v>12.57</v>
      </c>
      <c r="W9" s="44"/>
    </row>
    <row r="10" spans="1:23">
      <c r="A10" s="95">
        <f t="shared" si="5"/>
        <v>21</v>
      </c>
      <c r="B10" s="57">
        <f t="shared" si="0"/>
        <v>3.73</v>
      </c>
      <c r="C10" s="58">
        <f t="shared" si="1"/>
        <v>0.14000000000000001</v>
      </c>
      <c r="D10" s="58">
        <f t="shared" si="2"/>
        <v>0.14000000000000001</v>
      </c>
      <c r="E10" s="94">
        <f>IF(OR($B10="", VLOOKUP(Plan,Table,4,FALSE)={"CHILD","CH0611","CHILDG"}), "",52)</f>
        <v>52</v>
      </c>
      <c r="F10" s="40">
        <f t="shared" si="6"/>
        <v>1.77</v>
      </c>
      <c r="G10" s="40">
        <f t="shared" si="6"/>
        <v>2.54</v>
      </c>
      <c r="H10" s="40">
        <f t="shared" si="6"/>
        <v>2.93</v>
      </c>
      <c r="I10" s="40">
        <f t="shared" si="6"/>
        <v>3.31</v>
      </c>
      <c r="J10" s="40">
        <f t="shared" si="6"/>
        <v>4.08</v>
      </c>
      <c r="K10" s="40">
        <f t="shared" si="6"/>
        <v>4.8600000000000003</v>
      </c>
      <c r="L10" s="40">
        <f t="shared" si="6"/>
        <v>5.63</v>
      </c>
      <c r="M10" s="40">
        <f t="shared" si="6"/>
        <v>6.4</v>
      </c>
      <c r="N10" s="40">
        <f t="shared" si="6"/>
        <v>6.78</v>
      </c>
      <c r="O10" s="40">
        <f t="shared" si="6"/>
        <v>7.17</v>
      </c>
      <c r="P10" s="40">
        <f t="shared" si="7"/>
        <v>7.94</v>
      </c>
      <c r="Q10" s="40">
        <f t="shared" si="7"/>
        <v>8.7100000000000009</v>
      </c>
      <c r="R10" s="40">
        <f t="shared" si="7"/>
        <v>9.48</v>
      </c>
      <c r="S10" s="40">
        <f t="shared" si="7"/>
        <v>10.64</v>
      </c>
      <c r="T10" s="40">
        <f t="shared" si="7"/>
        <v>11.03</v>
      </c>
      <c r="U10" s="40">
        <f t="shared" si="7"/>
        <v>11.8</v>
      </c>
      <c r="V10" s="40">
        <f t="shared" si="7"/>
        <v>12.57</v>
      </c>
    </row>
    <row r="11" spans="1:23">
      <c r="A11" s="95">
        <f t="shared" si="5"/>
        <v>22</v>
      </c>
      <c r="B11" s="57">
        <f t="shared" si="0"/>
        <v>3.73</v>
      </c>
      <c r="C11" s="58">
        <f t="shared" si="1"/>
        <v>0.14000000000000001</v>
      </c>
      <c r="D11" s="58">
        <f t="shared" si="2"/>
        <v>0.14000000000000001</v>
      </c>
      <c r="E11" s="94">
        <f>IF(OR($B11="", VLOOKUP(Plan,Table,4,FALSE)={"CHILD","CH0611","CHILDG"}), "",52)</f>
        <v>52</v>
      </c>
      <c r="F11" s="40">
        <f t="shared" si="6"/>
        <v>1.77</v>
      </c>
      <c r="G11" s="40">
        <f t="shared" si="6"/>
        <v>2.54</v>
      </c>
      <c r="H11" s="40">
        <f t="shared" si="6"/>
        <v>2.93</v>
      </c>
      <c r="I11" s="40">
        <f t="shared" si="6"/>
        <v>3.31</v>
      </c>
      <c r="J11" s="40">
        <f t="shared" si="6"/>
        <v>4.08</v>
      </c>
      <c r="K11" s="40">
        <f t="shared" si="6"/>
        <v>4.8600000000000003</v>
      </c>
      <c r="L11" s="40">
        <f t="shared" si="6"/>
        <v>5.63</v>
      </c>
      <c r="M11" s="40">
        <f t="shared" si="6"/>
        <v>6.4</v>
      </c>
      <c r="N11" s="40">
        <f t="shared" si="6"/>
        <v>6.78</v>
      </c>
      <c r="O11" s="40">
        <f t="shared" si="6"/>
        <v>7.17</v>
      </c>
      <c r="P11" s="40">
        <f t="shared" si="7"/>
        <v>7.94</v>
      </c>
      <c r="Q11" s="40">
        <f t="shared" si="7"/>
        <v>8.7100000000000009</v>
      </c>
      <c r="R11" s="40">
        <f t="shared" si="7"/>
        <v>9.48</v>
      </c>
      <c r="S11" s="40">
        <f t="shared" si="7"/>
        <v>10.64</v>
      </c>
      <c r="T11" s="40">
        <f t="shared" si="7"/>
        <v>11.03</v>
      </c>
      <c r="U11" s="40">
        <f t="shared" si="7"/>
        <v>11.8</v>
      </c>
      <c r="V11" s="40">
        <f t="shared" si="7"/>
        <v>12.57</v>
      </c>
    </row>
    <row r="12" spans="1:23">
      <c r="A12" s="95">
        <f t="shared" si="5"/>
        <v>23</v>
      </c>
      <c r="B12" s="57">
        <f t="shared" si="0"/>
        <v>3.73</v>
      </c>
      <c r="C12" s="58">
        <f t="shared" si="1"/>
        <v>0.14000000000000001</v>
      </c>
      <c r="D12" s="58">
        <f t="shared" si="2"/>
        <v>0.14000000000000001</v>
      </c>
      <c r="E12" s="94">
        <f>IF(OR($B12="", VLOOKUP(Plan,Table,4,FALSE)={"CHILD","CH0611","CHILDG"}), "",52)</f>
        <v>52</v>
      </c>
      <c r="F12" s="40">
        <f t="shared" si="6"/>
        <v>1.77</v>
      </c>
      <c r="G12" s="40">
        <f t="shared" si="6"/>
        <v>2.54</v>
      </c>
      <c r="H12" s="40">
        <f t="shared" si="6"/>
        <v>2.93</v>
      </c>
      <c r="I12" s="40">
        <f t="shared" si="6"/>
        <v>3.31</v>
      </c>
      <c r="J12" s="40">
        <f t="shared" si="6"/>
        <v>4.08</v>
      </c>
      <c r="K12" s="40">
        <f t="shared" si="6"/>
        <v>4.8600000000000003</v>
      </c>
      <c r="L12" s="40">
        <f t="shared" si="6"/>
        <v>5.63</v>
      </c>
      <c r="M12" s="40">
        <f t="shared" si="6"/>
        <v>6.4</v>
      </c>
      <c r="N12" s="40">
        <f t="shared" si="6"/>
        <v>6.78</v>
      </c>
      <c r="O12" s="40">
        <f t="shared" si="6"/>
        <v>7.17</v>
      </c>
      <c r="P12" s="40">
        <f t="shared" si="7"/>
        <v>7.94</v>
      </c>
      <c r="Q12" s="40">
        <f t="shared" si="7"/>
        <v>8.7100000000000009</v>
      </c>
      <c r="R12" s="40">
        <f t="shared" si="7"/>
        <v>9.48</v>
      </c>
      <c r="S12" s="40">
        <f t="shared" si="7"/>
        <v>10.64</v>
      </c>
      <c r="T12" s="40">
        <f t="shared" si="7"/>
        <v>11.03</v>
      </c>
      <c r="U12" s="40">
        <f t="shared" si="7"/>
        <v>11.8</v>
      </c>
      <c r="V12" s="40">
        <f t="shared" si="7"/>
        <v>12.57</v>
      </c>
    </row>
    <row r="13" spans="1:23">
      <c r="A13" s="95">
        <f t="shared" si="5"/>
        <v>24</v>
      </c>
      <c r="B13" s="57">
        <f t="shared" si="0"/>
        <v>3.73</v>
      </c>
      <c r="C13" s="58">
        <f t="shared" si="1"/>
        <v>0.14000000000000001</v>
      </c>
      <c r="D13" s="58">
        <f t="shared" si="2"/>
        <v>0.14000000000000001</v>
      </c>
      <c r="E13" s="94">
        <f>IF(OR($B13="", VLOOKUP(Plan,Table,4,FALSE)={"CHILD","CH0611","CHILDG"}), "",52)</f>
        <v>52</v>
      </c>
      <c r="F13" s="40">
        <f t="shared" si="6"/>
        <v>1.77</v>
      </c>
      <c r="G13" s="40">
        <f t="shared" si="6"/>
        <v>2.54</v>
      </c>
      <c r="H13" s="40">
        <f t="shared" si="6"/>
        <v>2.93</v>
      </c>
      <c r="I13" s="40">
        <f t="shared" si="6"/>
        <v>3.31</v>
      </c>
      <c r="J13" s="40">
        <f t="shared" si="6"/>
        <v>4.08</v>
      </c>
      <c r="K13" s="40">
        <f t="shared" si="6"/>
        <v>4.8600000000000003</v>
      </c>
      <c r="L13" s="40">
        <f t="shared" si="6"/>
        <v>5.63</v>
      </c>
      <c r="M13" s="40">
        <f t="shared" si="6"/>
        <v>6.4</v>
      </c>
      <c r="N13" s="40">
        <f t="shared" si="6"/>
        <v>6.78</v>
      </c>
      <c r="O13" s="40">
        <f t="shared" si="6"/>
        <v>7.17</v>
      </c>
      <c r="P13" s="40">
        <f t="shared" si="7"/>
        <v>7.94</v>
      </c>
      <c r="Q13" s="40">
        <f t="shared" si="7"/>
        <v>8.7100000000000009</v>
      </c>
      <c r="R13" s="40">
        <f t="shared" si="7"/>
        <v>9.48</v>
      </c>
      <c r="S13" s="40">
        <f t="shared" si="7"/>
        <v>10.64</v>
      </c>
      <c r="T13" s="40">
        <f t="shared" si="7"/>
        <v>11.03</v>
      </c>
      <c r="U13" s="40">
        <f t="shared" si="7"/>
        <v>11.8</v>
      </c>
      <c r="V13" s="40">
        <f t="shared" si="7"/>
        <v>12.57</v>
      </c>
    </row>
    <row r="14" spans="1:23">
      <c r="A14" s="95">
        <f t="shared" si="5"/>
        <v>25</v>
      </c>
      <c r="B14" s="57">
        <f t="shared" si="0"/>
        <v>3.73</v>
      </c>
      <c r="C14" s="58">
        <f t="shared" si="1"/>
        <v>0.14000000000000001</v>
      </c>
      <c r="D14" s="58">
        <f t="shared" si="2"/>
        <v>0.14000000000000001</v>
      </c>
      <c r="E14" s="94">
        <f>IF(OR($B14="", VLOOKUP(Plan,Table,4,FALSE)={"CHILD","CH0611","CHILDG"}), "",52)</f>
        <v>52</v>
      </c>
      <c r="F14" s="40">
        <f t="shared" si="6"/>
        <v>1.77</v>
      </c>
      <c r="G14" s="40">
        <f t="shared" si="6"/>
        <v>2.54</v>
      </c>
      <c r="H14" s="40">
        <f t="shared" si="6"/>
        <v>2.93</v>
      </c>
      <c r="I14" s="40">
        <f t="shared" si="6"/>
        <v>3.31</v>
      </c>
      <c r="J14" s="40">
        <f t="shared" si="6"/>
        <v>4.08</v>
      </c>
      <c r="K14" s="40">
        <f t="shared" si="6"/>
        <v>4.8600000000000003</v>
      </c>
      <c r="L14" s="40">
        <f t="shared" si="6"/>
        <v>5.63</v>
      </c>
      <c r="M14" s="40">
        <f t="shared" si="6"/>
        <v>6.4</v>
      </c>
      <c r="N14" s="40">
        <f t="shared" si="6"/>
        <v>6.78</v>
      </c>
      <c r="O14" s="40">
        <f t="shared" si="6"/>
        <v>7.17</v>
      </c>
      <c r="P14" s="40">
        <f t="shared" si="7"/>
        <v>7.94</v>
      </c>
      <c r="Q14" s="40">
        <f t="shared" si="7"/>
        <v>8.7100000000000009</v>
      </c>
      <c r="R14" s="40">
        <f t="shared" si="7"/>
        <v>9.48</v>
      </c>
      <c r="S14" s="40">
        <f t="shared" si="7"/>
        <v>10.64</v>
      </c>
      <c r="T14" s="40">
        <f t="shared" si="7"/>
        <v>11.03</v>
      </c>
      <c r="U14" s="40">
        <f t="shared" si="7"/>
        <v>11.8</v>
      </c>
      <c r="V14" s="40">
        <f t="shared" si="7"/>
        <v>12.57</v>
      </c>
    </row>
    <row r="15" spans="1:23">
      <c r="A15" s="95">
        <f t="shared" si="5"/>
        <v>26</v>
      </c>
      <c r="B15" s="57">
        <f t="shared" si="0"/>
        <v>3.75</v>
      </c>
      <c r="C15" s="58">
        <f t="shared" si="1"/>
        <v>0.14000000000000001</v>
      </c>
      <c r="D15" s="58">
        <f t="shared" si="2"/>
        <v>0.15</v>
      </c>
      <c r="E15" s="94">
        <f>IF(OR($B15="", VLOOKUP(Plan,Table,4,FALSE)={"CHILD","CH0611","CHILDG"}), "",52)</f>
        <v>52</v>
      </c>
      <c r="F15" s="40">
        <f t="shared" si="6"/>
        <v>1.78</v>
      </c>
      <c r="G15" s="40">
        <f t="shared" si="6"/>
        <v>2.5499999999999998</v>
      </c>
      <c r="H15" s="40">
        <f t="shared" si="6"/>
        <v>2.94</v>
      </c>
      <c r="I15" s="40">
        <f t="shared" si="6"/>
        <v>3.33</v>
      </c>
      <c r="J15" s="40">
        <f t="shared" si="6"/>
        <v>4.1100000000000003</v>
      </c>
      <c r="K15" s="40">
        <f t="shared" si="6"/>
        <v>4.88</v>
      </c>
      <c r="L15" s="40">
        <f t="shared" si="6"/>
        <v>5.66</v>
      </c>
      <c r="M15" s="40">
        <f t="shared" si="6"/>
        <v>6.44</v>
      </c>
      <c r="N15" s="40">
        <f t="shared" si="6"/>
        <v>6.83</v>
      </c>
      <c r="O15" s="40">
        <f t="shared" si="6"/>
        <v>7.22</v>
      </c>
      <c r="P15" s="40">
        <f t="shared" si="7"/>
        <v>7.99</v>
      </c>
      <c r="Q15" s="40">
        <f t="shared" si="7"/>
        <v>8.77</v>
      </c>
      <c r="R15" s="40">
        <f t="shared" si="7"/>
        <v>9.5500000000000007</v>
      </c>
      <c r="S15" s="40">
        <f t="shared" si="7"/>
        <v>10.71</v>
      </c>
      <c r="T15" s="40">
        <f t="shared" si="7"/>
        <v>11.1</v>
      </c>
      <c r="U15" s="40">
        <f t="shared" si="7"/>
        <v>11.88</v>
      </c>
      <c r="V15" s="40">
        <f t="shared" si="7"/>
        <v>12.65</v>
      </c>
    </row>
    <row r="16" spans="1:23">
      <c r="A16" s="95">
        <f t="shared" si="5"/>
        <v>27</v>
      </c>
      <c r="B16" s="57">
        <f t="shared" si="0"/>
        <v>3.82</v>
      </c>
      <c r="C16" s="58">
        <f t="shared" si="1"/>
        <v>0.14000000000000001</v>
      </c>
      <c r="D16" s="58">
        <f t="shared" si="2"/>
        <v>0.16</v>
      </c>
      <c r="E16" s="94">
        <f>IF(OR($B16="", VLOOKUP(Plan,Table,4,FALSE)={"CHILD","CH0611","CHILDG"}), "",52)</f>
        <v>52</v>
      </c>
      <c r="F16" s="40">
        <f t="shared" si="6"/>
        <v>1.79</v>
      </c>
      <c r="G16" s="40">
        <f t="shared" si="6"/>
        <v>2.58</v>
      </c>
      <c r="H16" s="40">
        <f t="shared" si="6"/>
        <v>2.98</v>
      </c>
      <c r="I16" s="40">
        <f t="shared" si="6"/>
        <v>3.38</v>
      </c>
      <c r="J16" s="40">
        <f t="shared" si="6"/>
        <v>4.17</v>
      </c>
      <c r="K16" s="40">
        <f t="shared" si="6"/>
        <v>4.96</v>
      </c>
      <c r="L16" s="40">
        <f t="shared" si="6"/>
        <v>5.75</v>
      </c>
      <c r="M16" s="40">
        <f t="shared" si="6"/>
        <v>6.55</v>
      </c>
      <c r="N16" s="40">
        <f t="shared" si="6"/>
        <v>6.94</v>
      </c>
      <c r="O16" s="40">
        <f t="shared" si="6"/>
        <v>7.34</v>
      </c>
      <c r="P16" s="40">
        <f t="shared" si="7"/>
        <v>8.1300000000000008</v>
      </c>
      <c r="Q16" s="40">
        <f t="shared" si="7"/>
        <v>8.92</v>
      </c>
      <c r="R16" s="40">
        <f t="shared" si="7"/>
        <v>9.7200000000000006</v>
      </c>
      <c r="S16" s="40">
        <f t="shared" si="7"/>
        <v>10.9</v>
      </c>
      <c r="T16" s="40">
        <f t="shared" si="7"/>
        <v>11.3</v>
      </c>
      <c r="U16" s="40">
        <f t="shared" si="7"/>
        <v>12.09</v>
      </c>
      <c r="V16" s="40">
        <f t="shared" si="7"/>
        <v>12.88</v>
      </c>
    </row>
    <row r="17" spans="1:22">
      <c r="A17" s="95">
        <f t="shared" si="5"/>
        <v>28</v>
      </c>
      <c r="B17" s="57">
        <f t="shared" si="0"/>
        <v>3.93</v>
      </c>
      <c r="C17" s="58">
        <f t="shared" si="1"/>
        <v>0.14000000000000001</v>
      </c>
      <c r="D17" s="58">
        <f t="shared" si="2"/>
        <v>0.16</v>
      </c>
      <c r="E17" s="94">
        <f>IF(OR($B17="", VLOOKUP(Plan,Table,4,FALSE)={"CHILD","CH0611","CHILDG"}), "",52)</f>
        <v>52</v>
      </c>
      <c r="F17" s="40">
        <f t="shared" si="6"/>
        <v>1.81</v>
      </c>
      <c r="G17" s="40">
        <f t="shared" si="6"/>
        <v>2.63</v>
      </c>
      <c r="H17" s="40">
        <f t="shared" si="6"/>
        <v>3.03</v>
      </c>
      <c r="I17" s="40">
        <f t="shared" si="6"/>
        <v>3.44</v>
      </c>
      <c r="J17" s="40">
        <f t="shared" si="6"/>
        <v>4.25</v>
      </c>
      <c r="K17" s="40">
        <f t="shared" si="6"/>
        <v>5.07</v>
      </c>
      <c r="L17" s="40">
        <f t="shared" si="6"/>
        <v>5.88</v>
      </c>
      <c r="M17" s="40">
        <f t="shared" si="6"/>
        <v>6.69</v>
      </c>
      <c r="N17" s="40">
        <f t="shared" si="6"/>
        <v>7.1</v>
      </c>
      <c r="O17" s="40">
        <f t="shared" si="6"/>
        <v>7.51</v>
      </c>
      <c r="P17" s="40">
        <f t="shared" si="7"/>
        <v>8.32</v>
      </c>
      <c r="Q17" s="40">
        <f t="shared" si="7"/>
        <v>9.1300000000000008</v>
      </c>
      <c r="R17" s="40">
        <f t="shared" si="7"/>
        <v>9.9499999999999993</v>
      </c>
      <c r="S17" s="40">
        <f t="shared" si="7"/>
        <v>11.17</v>
      </c>
      <c r="T17" s="40">
        <f t="shared" si="7"/>
        <v>11.58</v>
      </c>
      <c r="U17" s="40">
        <f t="shared" si="7"/>
        <v>12.39</v>
      </c>
      <c r="V17" s="40">
        <f t="shared" si="7"/>
        <v>13.2</v>
      </c>
    </row>
    <row r="18" spans="1:22">
      <c r="A18" s="95">
        <f t="shared" si="5"/>
        <v>29</v>
      </c>
      <c r="B18" s="57">
        <f t="shared" si="0"/>
        <v>4.09</v>
      </c>
      <c r="C18" s="58">
        <f t="shared" si="1"/>
        <v>0.15</v>
      </c>
      <c r="D18" s="58">
        <f t="shared" si="2"/>
        <v>0.17</v>
      </c>
      <c r="E18" s="94">
        <f>IF(OR($B18="", VLOOKUP(Plan,Table,4,FALSE)={"CHILD","CH0611","CHILDG"}), "",52)</f>
        <v>52</v>
      </c>
      <c r="F18" s="40">
        <f t="shared" si="6"/>
        <v>1.85</v>
      </c>
      <c r="G18" s="40">
        <f t="shared" si="6"/>
        <v>2.7</v>
      </c>
      <c r="H18" s="40">
        <f t="shared" si="6"/>
        <v>3.12</v>
      </c>
      <c r="I18" s="40">
        <f t="shared" si="6"/>
        <v>3.54</v>
      </c>
      <c r="J18" s="40">
        <f t="shared" si="6"/>
        <v>4.3899999999999997</v>
      </c>
      <c r="K18" s="40">
        <f t="shared" si="6"/>
        <v>5.24</v>
      </c>
      <c r="L18" s="40">
        <f t="shared" si="6"/>
        <v>6.09</v>
      </c>
      <c r="M18" s="40">
        <f t="shared" si="6"/>
        <v>6.94</v>
      </c>
      <c r="N18" s="40">
        <f t="shared" si="6"/>
        <v>7.36</v>
      </c>
      <c r="O18" s="40">
        <f t="shared" si="6"/>
        <v>7.78</v>
      </c>
      <c r="P18" s="40">
        <f t="shared" si="7"/>
        <v>8.6300000000000008</v>
      </c>
      <c r="Q18" s="40">
        <f t="shared" si="7"/>
        <v>9.48</v>
      </c>
      <c r="R18" s="40">
        <f t="shared" si="7"/>
        <v>10.33</v>
      </c>
      <c r="S18" s="40">
        <f t="shared" si="7"/>
        <v>11.6</v>
      </c>
      <c r="T18" s="40">
        <f t="shared" si="7"/>
        <v>12.03</v>
      </c>
      <c r="U18" s="40">
        <f t="shared" si="7"/>
        <v>12.87</v>
      </c>
      <c r="V18" s="40">
        <f t="shared" si="7"/>
        <v>13.72</v>
      </c>
    </row>
    <row r="19" spans="1:22">
      <c r="A19" s="95">
        <f t="shared" si="5"/>
        <v>30</v>
      </c>
      <c r="B19" s="57">
        <f t="shared" si="0"/>
        <v>4.3</v>
      </c>
      <c r="C19" s="58">
        <f t="shared" si="1"/>
        <v>0.16</v>
      </c>
      <c r="D19" s="58">
        <f t="shared" si="2"/>
        <v>0.18</v>
      </c>
      <c r="E19" s="94">
        <f>IF(OR($B19="", VLOOKUP(Plan,Table,4,FALSE)={"CHILD","CH0611","CHILDG"}), "",52)</f>
        <v>52</v>
      </c>
      <c r="F19" s="40">
        <f t="shared" ref="F19:O28" si="8">IF($B19="", "", ROUND((ROUND($B19*F$3/1000,2)+IF($C19&lt;&gt;"", ROUND($C19*F$3/1000,2), 0)+IF($D19&lt;&gt;"", ROUND($D19*F$3/1000,2), 0)+IF($E19&lt;&gt;"", $E19, 0))/mode,2))</f>
        <v>1.89</v>
      </c>
      <c r="G19" s="40">
        <f t="shared" si="8"/>
        <v>2.78</v>
      </c>
      <c r="H19" s="40">
        <f t="shared" si="8"/>
        <v>3.23</v>
      </c>
      <c r="I19" s="40">
        <f t="shared" si="8"/>
        <v>3.68</v>
      </c>
      <c r="J19" s="40">
        <f t="shared" si="8"/>
        <v>4.57</v>
      </c>
      <c r="K19" s="40">
        <f t="shared" si="8"/>
        <v>5.46</v>
      </c>
      <c r="L19" s="40">
        <f t="shared" si="8"/>
        <v>6.35</v>
      </c>
      <c r="M19" s="40">
        <f t="shared" si="8"/>
        <v>7.25</v>
      </c>
      <c r="N19" s="40">
        <f t="shared" si="8"/>
        <v>7.69</v>
      </c>
      <c r="O19" s="40">
        <f t="shared" si="8"/>
        <v>8.14</v>
      </c>
      <c r="P19" s="40">
        <f t="shared" ref="P19:V28" si="9">IF($B19="", "", ROUND((ROUND($B19*P$3/1000,2)+IF($C19&lt;&gt;"", ROUND($C19*P$3/1000,2), 0)+IF($D19&lt;&gt;"", ROUND($D19*P$3/1000,2), 0)+IF($E19&lt;&gt;"", $E19, 0))/mode,2))</f>
        <v>9.0299999999999994</v>
      </c>
      <c r="Q19" s="40">
        <f t="shared" si="9"/>
        <v>9.92</v>
      </c>
      <c r="R19" s="40">
        <f t="shared" si="9"/>
        <v>10.82</v>
      </c>
      <c r="S19" s="40">
        <f t="shared" si="9"/>
        <v>12.15</v>
      </c>
      <c r="T19" s="40">
        <f t="shared" si="9"/>
        <v>12.6</v>
      </c>
      <c r="U19" s="40">
        <f t="shared" si="9"/>
        <v>13.49</v>
      </c>
      <c r="V19" s="40">
        <f t="shared" si="9"/>
        <v>14.38</v>
      </c>
    </row>
    <row r="20" spans="1:22">
      <c r="A20" s="95">
        <f t="shared" si="5"/>
        <v>31</v>
      </c>
      <c r="B20" s="57">
        <f t="shared" si="0"/>
        <v>4.53</v>
      </c>
      <c r="C20" s="58">
        <f t="shared" si="1"/>
        <v>0.16</v>
      </c>
      <c r="D20" s="58">
        <f t="shared" si="2"/>
        <v>0.19</v>
      </c>
      <c r="E20" s="94">
        <f>IF(OR($B20="", VLOOKUP(Plan,Table,4,FALSE)={"CHILD","CH0611","CHILDG"}), "",52)</f>
        <v>52</v>
      </c>
      <c r="F20" s="40">
        <f t="shared" si="8"/>
        <v>1.94</v>
      </c>
      <c r="G20" s="40">
        <f t="shared" si="8"/>
        <v>2.88</v>
      </c>
      <c r="H20" s="40">
        <f t="shared" si="8"/>
        <v>3.35</v>
      </c>
      <c r="I20" s="40">
        <f t="shared" si="8"/>
        <v>3.82</v>
      </c>
      <c r="J20" s="40">
        <f t="shared" si="8"/>
        <v>4.75</v>
      </c>
      <c r="K20" s="40">
        <f t="shared" si="8"/>
        <v>5.69</v>
      </c>
      <c r="L20" s="40">
        <f t="shared" si="8"/>
        <v>6.63</v>
      </c>
      <c r="M20" s="40">
        <f t="shared" si="8"/>
        <v>7.57</v>
      </c>
      <c r="N20" s="40">
        <f t="shared" si="8"/>
        <v>8.0399999999999991</v>
      </c>
      <c r="O20" s="40">
        <f t="shared" si="8"/>
        <v>8.51</v>
      </c>
      <c r="P20" s="40">
        <f t="shared" si="9"/>
        <v>9.4499999999999993</v>
      </c>
      <c r="Q20" s="40">
        <f t="shared" si="9"/>
        <v>10.38</v>
      </c>
      <c r="R20" s="40">
        <f t="shared" si="9"/>
        <v>11.32</v>
      </c>
      <c r="S20" s="40">
        <f t="shared" si="9"/>
        <v>12.73</v>
      </c>
      <c r="T20" s="40">
        <f t="shared" si="9"/>
        <v>13.2</v>
      </c>
      <c r="U20" s="40">
        <f t="shared" si="9"/>
        <v>14.14</v>
      </c>
      <c r="V20" s="40">
        <f t="shared" si="9"/>
        <v>15.08</v>
      </c>
    </row>
    <row r="21" spans="1:22">
      <c r="A21" s="95">
        <f t="shared" si="5"/>
        <v>32</v>
      </c>
      <c r="B21" s="57">
        <f t="shared" si="0"/>
        <v>4.79</v>
      </c>
      <c r="C21" s="58">
        <f t="shared" ref="C21:C52" si="10">IF(OR($C$3&lt;&gt;"Yes",$B21="", $A21&lt;18, $A21&gt;55, ISNA(VLOOKUP(Plan, Table, 2,FALSE))), "",VLOOKUP($A21, WaiverOfPremiumRate, MATCH(VLOOKUP(Plan, Table, 2,FALSE),WOPRatekey, FALSE)+1, FALSE))</f>
        <v>0.17</v>
      </c>
      <c r="D21" s="58">
        <f t="shared" ref="D21:D52" si="11">IF(OR($C$4&lt;&gt;"Yes",$B21="", $A21&lt;18, $A21&gt;65, ISNA(VLOOKUP(Plan, Table, 3,FALSE))), "", VLOOKUP($A21, QualityofLifeRiderRate, MATCH(VLOOKUP(Plan, Table, 3,FALSE),RiderRatekey, FALSE)+1, FALSE))</f>
        <v>0.2</v>
      </c>
      <c r="E21" s="94">
        <f>IF(OR($B21="", VLOOKUP(Plan,Table,4,FALSE)={"CHILD","CH0611","CHILDG"}), "",52)</f>
        <v>52</v>
      </c>
      <c r="F21" s="40">
        <f t="shared" si="8"/>
        <v>1.99</v>
      </c>
      <c r="G21" s="40">
        <f t="shared" si="8"/>
        <v>2.98</v>
      </c>
      <c r="H21" s="40">
        <f t="shared" si="8"/>
        <v>3.48</v>
      </c>
      <c r="I21" s="40">
        <f t="shared" si="8"/>
        <v>3.98</v>
      </c>
      <c r="J21" s="40">
        <f t="shared" si="8"/>
        <v>4.97</v>
      </c>
      <c r="K21" s="40">
        <f t="shared" si="8"/>
        <v>5.96</v>
      </c>
      <c r="L21" s="40">
        <f t="shared" si="8"/>
        <v>6.95</v>
      </c>
      <c r="M21" s="40">
        <f t="shared" si="8"/>
        <v>7.95</v>
      </c>
      <c r="N21" s="40">
        <f t="shared" si="8"/>
        <v>8.44</v>
      </c>
      <c r="O21" s="40">
        <f t="shared" si="8"/>
        <v>8.94</v>
      </c>
      <c r="P21" s="40">
        <f t="shared" si="9"/>
        <v>9.93</v>
      </c>
      <c r="Q21" s="40">
        <f t="shared" si="9"/>
        <v>10.92</v>
      </c>
      <c r="R21" s="40">
        <f t="shared" si="9"/>
        <v>11.92</v>
      </c>
      <c r="S21" s="40">
        <f t="shared" si="9"/>
        <v>13.4</v>
      </c>
      <c r="T21" s="40">
        <f t="shared" si="9"/>
        <v>13.9</v>
      </c>
      <c r="U21" s="40">
        <f t="shared" si="9"/>
        <v>14.89</v>
      </c>
      <c r="V21" s="40">
        <f t="shared" si="9"/>
        <v>15.88</v>
      </c>
    </row>
    <row r="22" spans="1:22">
      <c r="A22" s="95">
        <f t="shared" si="5"/>
        <v>33</v>
      </c>
      <c r="B22" s="57">
        <f t="shared" si="0"/>
        <v>5.07</v>
      </c>
      <c r="C22" s="58">
        <f t="shared" si="10"/>
        <v>0.18</v>
      </c>
      <c r="D22" s="58">
        <f t="shared" si="11"/>
        <v>0.2</v>
      </c>
      <c r="E22" s="94">
        <f>IF(OR($B22="", VLOOKUP(Plan,Table,4,FALSE)={"CHILD","CH0611","CHILDG"}), "",52)</f>
        <v>52</v>
      </c>
      <c r="F22" s="40">
        <f t="shared" si="8"/>
        <v>2.0499999999999998</v>
      </c>
      <c r="G22" s="40">
        <f t="shared" si="8"/>
        <v>3.1</v>
      </c>
      <c r="H22" s="40">
        <f t="shared" si="8"/>
        <v>3.62</v>
      </c>
      <c r="I22" s="40">
        <f t="shared" si="8"/>
        <v>4.1399999999999997</v>
      </c>
      <c r="J22" s="40">
        <f t="shared" si="8"/>
        <v>5.19</v>
      </c>
      <c r="K22" s="40">
        <f t="shared" si="8"/>
        <v>6.24</v>
      </c>
      <c r="L22" s="40">
        <f t="shared" si="8"/>
        <v>7.29</v>
      </c>
      <c r="M22" s="40">
        <f t="shared" si="8"/>
        <v>8.34</v>
      </c>
      <c r="N22" s="40">
        <f t="shared" si="8"/>
        <v>8.86</v>
      </c>
      <c r="O22" s="40">
        <f t="shared" si="8"/>
        <v>9.3800000000000008</v>
      </c>
      <c r="P22" s="40">
        <f t="shared" si="9"/>
        <v>10.43</v>
      </c>
      <c r="Q22" s="40">
        <f t="shared" si="9"/>
        <v>11.48</v>
      </c>
      <c r="R22" s="40">
        <f t="shared" si="9"/>
        <v>12.53</v>
      </c>
      <c r="S22" s="40">
        <f t="shared" si="9"/>
        <v>14.1</v>
      </c>
      <c r="T22" s="40">
        <f t="shared" si="9"/>
        <v>14.63</v>
      </c>
      <c r="U22" s="40">
        <f t="shared" si="9"/>
        <v>15.67</v>
      </c>
      <c r="V22" s="40">
        <f t="shared" si="9"/>
        <v>16.72</v>
      </c>
    </row>
    <row r="23" spans="1:22">
      <c r="A23" s="95">
        <f t="shared" si="5"/>
        <v>34</v>
      </c>
      <c r="B23" s="57">
        <f t="shared" si="0"/>
        <v>5.39</v>
      </c>
      <c r="C23" s="58">
        <f t="shared" si="10"/>
        <v>0.2</v>
      </c>
      <c r="D23" s="58">
        <f t="shared" si="11"/>
        <v>0.21</v>
      </c>
      <c r="E23" s="94">
        <f>IF(OR($B23="", VLOOKUP(Plan,Table,4,FALSE)={"CHILD","CH0611","CHILDG"}), "",52)</f>
        <v>52</v>
      </c>
      <c r="F23" s="40">
        <f t="shared" si="8"/>
        <v>2.12</v>
      </c>
      <c r="G23" s="40">
        <f t="shared" si="8"/>
        <v>3.23</v>
      </c>
      <c r="H23" s="40">
        <f t="shared" si="8"/>
        <v>3.79</v>
      </c>
      <c r="I23" s="40">
        <f t="shared" si="8"/>
        <v>4.3499999999999996</v>
      </c>
      <c r="J23" s="40">
        <f t="shared" si="8"/>
        <v>5.46</v>
      </c>
      <c r="K23" s="40">
        <f t="shared" si="8"/>
        <v>6.58</v>
      </c>
      <c r="L23" s="40">
        <f t="shared" si="8"/>
        <v>7.69</v>
      </c>
      <c r="M23" s="40">
        <f t="shared" si="8"/>
        <v>8.81</v>
      </c>
      <c r="N23" s="40">
        <f t="shared" si="8"/>
        <v>9.3699999999999992</v>
      </c>
      <c r="O23" s="40">
        <f t="shared" si="8"/>
        <v>9.92</v>
      </c>
      <c r="P23" s="40">
        <f t="shared" si="9"/>
        <v>11.04</v>
      </c>
      <c r="Q23" s="40">
        <f t="shared" si="9"/>
        <v>12.15</v>
      </c>
      <c r="R23" s="40">
        <f t="shared" si="9"/>
        <v>13.27</v>
      </c>
      <c r="S23" s="40">
        <f t="shared" si="9"/>
        <v>14.94</v>
      </c>
      <c r="T23" s="40">
        <f t="shared" si="9"/>
        <v>15.5</v>
      </c>
      <c r="U23" s="40">
        <f t="shared" si="9"/>
        <v>16.62</v>
      </c>
      <c r="V23" s="40">
        <f t="shared" si="9"/>
        <v>17.73</v>
      </c>
    </row>
    <row r="24" spans="1:22">
      <c r="A24" s="95">
        <f t="shared" si="5"/>
        <v>35</v>
      </c>
      <c r="B24" s="57">
        <f t="shared" si="0"/>
        <v>5.74</v>
      </c>
      <c r="C24" s="58">
        <f t="shared" si="10"/>
        <v>0.21</v>
      </c>
      <c r="D24" s="58">
        <f t="shared" si="11"/>
        <v>0.22</v>
      </c>
      <c r="E24" s="94">
        <f>IF(OR($B24="", VLOOKUP(Plan,Table,4,FALSE)={"CHILD","CH0611","CHILDG"}), "",52)</f>
        <v>52</v>
      </c>
      <c r="F24" s="40">
        <f t="shared" si="8"/>
        <v>2.19</v>
      </c>
      <c r="G24" s="40">
        <f t="shared" si="8"/>
        <v>3.37</v>
      </c>
      <c r="H24" s="40">
        <f t="shared" si="8"/>
        <v>3.97</v>
      </c>
      <c r="I24" s="40">
        <f t="shared" si="8"/>
        <v>4.5599999999999996</v>
      </c>
      <c r="J24" s="40">
        <f t="shared" si="8"/>
        <v>5.75</v>
      </c>
      <c r="K24" s="40">
        <f t="shared" si="8"/>
        <v>6.93</v>
      </c>
      <c r="L24" s="40">
        <f t="shared" si="8"/>
        <v>8.1199999999999992</v>
      </c>
      <c r="M24" s="40">
        <f t="shared" si="8"/>
        <v>9.31</v>
      </c>
      <c r="N24" s="40">
        <f t="shared" si="8"/>
        <v>9.9</v>
      </c>
      <c r="O24" s="40">
        <f t="shared" si="8"/>
        <v>10.49</v>
      </c>
      <c r="P24" s="40">
        <f t="shared" si="9"/>
        <v>11.68</v>
      </c>
      <c r="Q24" s="40">
        <f t="shared" si="9"/>
        <v>12.87</v>
      </c>
      <c r="R24" s="40">
        <f t="shared" si="9"/>
        <v>14.05</v>
      </c>
      <c r="S24" s="40">
        <f t="shared" si="9"/>
        <v>15.83</v>
      </c>
      <c r="T24" s="40">
        <f t="shared" si="9"/>
        <v>16.43</v>
      </c>
      <c r="U24" s="40">
        <f t="shared" si="9"/>
        <v>17.61</v>
      </c>
      <c r="V24" s="40">
        <f t="shared" si="9"/>
        <v>18.8</v>
      </c>
    </row>
    <row r="25" spans="1:22">
      <c r="A25" s="95">
        <f t="shared" si="5"/>
        <v>36</v>
      </c>
      <c r="B25" s="57">
        <f t="shared" si="0"/>
        <v>6.13</v>
      </c>
      <c r="C25" s="58">
        <f t="shared" si="10"/>
        <v>0.22</v>
      </c>
      <c r="D25" s="58">
        <f t="shared" si="11"/>
        <v>0.24</v>
      </c>
      <c r="E25" s="94">
        <f>IF(OR($B25="", VLOOKUP(Plan,Table,4,FALSE)={"CHILD","CH0611","CHILDG"}), "",52)</f>
        <v>52</v>
      </c>
      <c r="F25" s="40">
        <f t="shared" si="8"/>
        <v>2.27</v>
      </c>
      <c r="G25" s="40">
        <f t="shared" si="8"/>
        <v>3.53</v>
      </c>
      <c r="H25" s="40">
        <f t="shared" si="8"/>
        <v>4.17</v>
      </c>
      <c r="I25" s="40">
        <f t="shared" si="8"/>
        <v>4.8</v>
      </c>
      <c r="J25" s="40">
        <f t="shared" si="8"/>
        <v>6.07</v>
      </c>
      <c r="K25" s="40">
        <f t="shared" si="8"/>
        <v>7.34</v>
      </c>
      <c r="L25" s="40">
        <f t="shared" si="8"/>
        <v>8.6</v>
      </c>
      <c r="M25" s="40">
        <f t="shared" si="8"/>
        <v>9.8699999999999992</v>
      </c>
      <c r="N25" s="40">
        <f t="shared" si="8"/>
        <v>10.5</v>
      </c>
      <c r="O25" s="40">
        <f t="shared" si="8"/>
        <v>11.14</v>
      </c>
      <c r="P25" s="40">
        <f t="shared" si="9"/>
        <v>12.41</v>
      </c>
      <c r="Q25" s="40">
        <f t="shared" si="9"/>
        <v>13.67</v>
      </c>
      <c r="R25" s="40">
        <f t="shared" si="9"/>
        <v>14.94</v>
      </c>
      <c r="S25" s="40">
        <f t="shared" si="9"/>
        <v>16.84</v>
      </c>
      <c r="T25" s="40">
        <f t="shared" si="9"/>
        <v>17.48</v>
      </c>
      <c r="U25" s="40">
        <f t="shared" si="9"/>
        <v>18.739999999999998</v>
      </c>
      <c r="V25" s="40">
        <f t="shared" si="9"/>
        <v>20.010000000000002</v>
      </c>
    </row>
    <row r="26" spans="1:22">
      <c r="A26" s="95">
        <f t="shared" si="5"/>
        <v>37</v>
      </c>
      <c r="B26" s="57">
        <f t="shared" si="0"/>
        <v>6.55</v>
      </c>
      <c r="C26" s="58">
        <f t="shared" si="10"/>
        <v>0.24</v>
      </c>
      <c r="D26" s="58">
        <f t="shared" si="11"/>
        <v>0.27</v>
      </c>
      <c r="E26" s="94">
        <f>IF(OR($B26="", VLOOKUP(Plan,Table,4,FALSE)={"CHILD","CH0611","CHILDG"}), "",52)</f>
        <v>52</v>
      </c>
      <c r="F26" s="40">
        <f t="shared" si="8"/>
        <v>2.36</v>
      </c>
      <c r="G26" s="40">
        <f t="shared" si="8"/>
        <v>3.72</v>
      </c>
      <c r="H26" s="40">
        <f t="shared" si="8"/>
        <v>4.3899999999999997</v>
      </c>
      <c r="I26" s="40">
        <f t="shared" si="8"/>
        <v>5.07</v>
      </c>
      <c r="J26" s="40">
        <f t="shared" si="8"/>
        <v>6.43</v>
      </c>
      <c r="K26" s="40">
        <f t="shared" si="8"/>
        <v>7.79</v>
      </c>
      <c r="L26" s="40">
        <f t="shared" si="8"/>
        <v>9.15</v>
      </c>
      <c r="M26" s="40">
        <f t="shared" si="8"/>
        <v>10.5</v>
      </c>
      <c r="N26" s="40">
        <f t="shared" si="8"/>
        <v>11.18</v>
      </c>
      <c r="O26" s="40">
        <f t="shared" si="8"/>
        <v>11.86</v>
      </c>
      <c r="P26" s="40">
        <f t="shared" si="9"/>
        <v>13.22</v>
      </c>
      <c r="Q26" s="40">
        <f t="shared" si="9"/>
        <v>14.58</v>
      </c>
      <c r="R26" s="40">
        <f t="shared" si="9"/>
        <v>15.93</v>
      </c>
      <c r="S26" s="40">
        <f t="shared" si="9"/>
        <v>17.97</v>
      </c>
      <c r="T26" s="40">
        <f t="shared" si="9"/>
        <v>18.649999999999999</v>
      </c>
      <c r="U26" s="40">
        <f t="shared" si="9"/>
        <v>20.010000000000002</v>
      </c>
      <c r="V26" s="40">
        <f t="shared" si="9"/>
        <v>21.37</v>
      </c>
    </row>
    <row r="27" spans="1:22">
      <c r="A27" s="95">
        <f t="shared" si="5"/>
        <v>38</v>
      </c>
      <c r="B27" s="57">
        <f t="shared" si="0"/>
        <v>7</v>
      </c>
      <c r="C27" s="58">
        <f t="shared" si="10"/>
        <v>0.25</v>
      </c>
      <c r="D27" s="58">
        <f t="shared" si="11"/>
        <v>0.28999999999999998</v>
      </c>
      <c r="E27" s="94">
        <f>IF(OR($B27="", VLOOKUP(Plan,Table,4,FALSE)={"CHILD","CH0611","CHILDG"}), "",52)</f>
        <v>52</v>
      </c>
      <c r="F27" s="40">
        <f t="shared" si="8"/>
        <v>2.4500000000000002</v>
      </c>
      <c r="G27" s="40">
        <f t="shared" si="8"/>
        <v>3.9</v>
      </c>
      <c r="H27" s="40">
        <f t="shared" si="8"/>
        <v>4.63</v>
      </c>
      <c r="I27" s="40">
        <f t="shared" si="8"/>
        <v>5.35</v>
      </c>
      <c r="J27" s="40">
        <f t="shared" si="8"/>
        <v>6.8</v>
      </c>
      <c r="K27" s="40">
        <f t="shared" si="8"/>
        <v>8.25</v>
      </c>
      <c r="L27" s="40">
        <f t="shared" si="8"/>
        <v>9.6999999999999993</v>
      </c>
      <c r="M27" s="40">
        <f t="shared" si="8"/>
        <v>11.15</v>
      </c>
      <c r="N27" s="40">
        <f t="shared" si="8"/>
        <v>11.88</v>
      </c>
      <c r="O27" s="40">
        <f t="shared" si="8"/>
        <v>12.6</v>
      </c>
      <c r="P27" s="40">
        <f t="shared" si="9"/>
        <v>14.05</v>
      </c>
      <c r="Q27" s="40">
        <f t="shared" si="9"/>
        <v>15.5</v>
      </c>
      <c r="R27" s="40">
        <f t="shared" si="9"/>
        <v>16.95</v>
      </c>
      <c r="S27" s="40">
        <f t="shared" si="9"/>
        <v>19.13</v>
      </c>
      <c r="T27" s="40">
        <f t="shared" si="9"/>
        <v>19.850000000000001</v>
      </c>
      <c r="U27" s="40">
        <f t="shared" si="9"/>
        <v>21.3</v>
      </c>
      <c r="V27" s="40">
        <f t="shared" si="9"/>
        <v>22.75</v>
      </c>
    </row>
    <row r="28" spans="1:22">
      <c r="A28" s="95">
        <f t="shared" si="5"/>
        <v>39</v>
      </c>
      <c r="B28" s="57">
        <f t="shared" si="0"/>
        <v>7.49</v>
      </c>
      <c r="C28" s="58">
        <f t="shared" si="10"/>
        <v>0.27</v>
      </c>
      <c r="D28" s="58">
        <f t="shared" si="11"/>
        <v>0.32</v>
      </c>
      <c r="E28" s="94">
        <f>IF(OR($B28="", VLOOKUP(Plan,Table,4,FALSE)={"CHILD","CH0611","CHILDG"}), "",52)</f>
        <v>52</v>
      </c>
      <c r="F28" s="40">
        <f t="shared" si="8"/>
        <v>2.5499999999999998</v>
      </c>
      <c r="G28" s="40">
        <f t="shared" si="8"/>
        <v>4.1100000000000003</v>
      </c>
      <c r="H28" s="40">
        <f t="shared" si="8"/>
        <v>4.88</v>
      </c>
      <c r="I28" s="40">
        <f t="shared" si="8"/>
        <v>5.66</v>
      </c>
      <c r="J28" s="40">
        <f t="shared" si="8"/>
        <v>7.22</v>
      </c>
      <c r="K28" s="40">
        <f t="shared" si="8"/>
        <v>8.77</v>
      </c>
      <c r="L28" s="40">
        <f t="shared" si="8"/>
        <v>10.32</v>
      </c>
      <c r="M28" s="40">
        <f t="shared" si="8"/>
        <v>11.88</v>
      </c>
      <c r="N28" s="40">
        <f t="shared" si="8"/>
        <v>12.65</v>
      </c>
      <c r="O28" s="40">
        <f t="shared" si="8"/>
        <v>13.43</v>
      </c>
      <c r="P28" s="40">
        <f t="shared" si="9"/>
        <v>14.98</v>
      </c>
      <c r="Q28" s="40">
        <f t="shared" si="9"/>
        <v>16.54</v>
      </c>
      <c r="R28" s="40">
        <f t="shared" si="9"/>
        <v>18.09</v>
      </c>
      <c r="S28" s="40">
        <f t="shared" si="9"/>
        <v>20.420000000000002</v>
      </c>
      <c r="T28" s="40">
        <f t="shared" si="9"/>
        <v>21.2</v>
      </c>
      <c r="U28" s="40">
        <f t="shared" si="9"/>
        <v>22.75</v>
      </c>
      <c r="V28" s="40">
        <f t="shared" si="9"/>
        <v>24.31</v>
      </c>
    </row>
    <row r="29" spans="1:22" s="5" customFormat="1">
      <c r="A29" s="95">
        <f t="shared" si="5"/>
        <v>40</v>
      </c>
      <c r="B29" s="57">
        <f t="shared" si="0"/>
        <v>8.0299999999999994</v>
      </c>
      <c r="C29" s="153">
        <f t="shared" si="10"/>
        <v>0.28999999999999998</v>
      </c>
      <c r="D29" s="153">
        <f t="shared" si="11"/>
        <v>0.34</v>
      </c>
      <c r="E29" s="94">
        <f>IF(OR($B29="", VLOOKUP(Plan,Table,4,FALSE)={"CHILD","CH0611","CHILDG"}), "",52)</f>
        <v>52</v>
      </c>
      <c r="F29" s="154">
        <f t="shared" ref="F29:O38" si="12">IF($B29="", "", ROUND((ROUND($B29*F$3/1000,2)+IF($C29&lt;&gt;"", ROUND($C29*F$3/1000,2), 0)+IF($D29&lt;&gt;"", ROUND($D29*F$3/1000,2), 0)+IF($E29&lt;&gt;"", $E29, 0))/mode,2))</f>
        <v>2.67</v>
      </c>
      <c r="G29" s="154">
        <f t="shared" si="12"/>
        <v>4.33</v>
      </c>
      <c r="H29" s="154">
        <f t="shared" si="12"/>
        <v>5.16</v>
      </c>
      <c r="I29" s="154">
        <f t="shared" si="12"/>
        <v>6</v>
      </c>
      <c r="J29" s="154">
        <f t="shared" si="12"/>
        <v>7.66</v>
      </c>
      <c r="K29" s="154">
        <f t="shared" si="12"/>
        <v>9.33</v>
      </c>
      <c r="L29" s="154">
        <f t="shared" si="12"/>
        <v>10.99</v>
      </c>
      <c r="M29" s="154">
        <f t="shared" si="12"/>
        <v>12.66</v>
      </c>
      <c r="N29" s="154">
        <f t="shared" si="12"/>
        <v>13.49</v>
      </c>
      <c r="O29" s="154">
        <f t="shared" si="12"/>
        <v>14.32</v>
      </c>
      <c r="P29" s="154">
        <f t="shared" ref="P29:V38" si="13">IF($B29="", "", ROUND((ROUND($B29*P$3/1000,2)+IF($C29&lt;&gt;"", ROUND($C29*P$3/1000,2), 0)+IF($D29&lt;&gt;"", ROUND($D29*P$3/1000,2), 0)+IF($E29&lt;&gt;"", $E29, 0))/mode,2))</f>
        <v>15.99</v>
      </c>
      <c r="Q29" s="154">
        <f t="shared" si="13"/>
        <v>17.649999999999999</v>
      </c>
      <c r="R29" s="154">
        <f t="shared" si="13"/>
        <v>19.32</v>
      </c>
      <c r="S29" s="154">
        <f t="shared" si="13"/>
        <v>21.82</v>
      </c>
      <c r="T29" s="154">
        <f t="shared" si="13"/>
        <v>22.65</v>
      </c>
      <c r="U29" s="154">
        <f t="shared" si="13"/>
        <v>24.32</v>
      </c>
      <c r="V29" s="154">
        <f t="shared" si="13"/>
        <v>25.98</v>
      </c>
    </row>
    <row r="30" spans="1:22">
      <c r="A30" s="95">
        <f t="shared" si="5"/>
        <v>41</v>
      </c>
      <c r="B30" s="57">
        <f t="shared" si="0"/>
        <v>8.64</v>
      </c>
      <c r="C30" s="58">
        <f t="shared" si="10"/>
        <v>0.31</v>
      </c>
      <c r="D30" s="58">
        <f t="shared" si="11"/>
        <v>0.36</v>
      </c>
      <c r="E30" s="94">
        <f>IF(OR($B30="", VLOOKUP(Plan,Table,4,FALSE)={"CHILD","CH0611","CHILDG"}), "",52)</f>
        <v>52</v>
      </c>
      <c r="F30" s="40">
        <f t="shared" si="12"/>
        <v>2.79</v>
      </c>
      <c r="G30" s="40">
        <f t="shared" si="12"/>
        <v>4.58</v>
      </c>
      <c r="H30" s="40">
        <f t="shared" si="12"/>
        <v>5.48</v>
      </c>
      <c r="I30" s="40">
        <f t="shared" si="12"/>
        <v>6.37</v>
      </c>
      <c r="J30" s="40">
        <f t="shared" si="12"/>
        <v>8.16</v>
      </c>
      <c r="K30" s="40">
        <f t="shared" si="12"/>
        <v>9.9499999999999993</v>
      </c>
      <c r="L30" s="40">
        <f t="shared" si="12"/>
        <v>11.74</v>
      </c>
      <c r="M30" s="40">
        <f t="shared" si="12"/>
        <v>13.53</v>
      </c>
      <c r="N30" s="40">
        <f t="shared" si="12"/>
        <v>14.43</v>
      </c>
      <c r="O30" s="40">
        <f t="shared" si="12"/>
        <v>15.32</v>
      </c>
      <c r="P30" s="40">
        <f t="shared" si="13"/>
        <v>17.11</v>
      </c>
      <c r="Q30" s="40">
        <f t="shared" si="13"/>
        <v>18.899999999999999</v>
      </c>
      <c r="R30" s="40">
        <f t="shared" si="13"/>
        <v>20.69</v>
      </c>
      <c r="S30" s="40">
        <f t="shared" si="13"/>
        <v>23.38</v>
      </c>
      <c r="T30" s="40">
        <f t="shared" si="13"/>
        <v>24.28</v>
      </c>
      <c r="U30" s="40">
        <f t="shared" si="13"/>
        <v>26.07</v>
      </c>
      <c r="V30" s="40">
        <f t="shared" si="13"/>
        <v>27.86</v>
      </c>
    </row>
    <row r="31" spans="1:22">
      <c r="A31" s="95">
        <f t="shared" si="5"/>
        <v>42</v>
      </c>
      <c r="B31" s="57">
        <f t="shared" si="0"/>
        <v>9.3000000000000007</v>
      </c>
      <c r="C31" s="58">
        <f t="shared" si="10"/>
        <v>0.34</v>
      </c>
      <c r="D31" s="58">
        <f t="shared" si="11"/>
        <v>0.39</v>
      </c>
      <c r="E31" s="94">
        <f>IF(OR($B31="", VLOOKUP(Plan,Table,4,FALSE)={"CHILD","CH0611","CHILDG"}), "",52)</f>
        <v>52</v>
      </c>
      <c r="F31" s="40">
        <f t="shared" si="12"/>
        <v>2.93</v>
      </c>
      <c r="G31" s="40">
        <f t="shared" si="12"/>
        <v>4.8600000000000003</v>
      </c>
      <c r="H31" s="40">
        <f t="shared" si="12"/>
        <v>5.82</v>
      </c>
      <c r="I31" s="40">
        <f t="shared" si="12"/>
        <v>6.79</v>
      </c>
      <c r="J31" s="40">
        <f t="shared" si="12"/>
        <v>8.7200000000000006</v>
      </c>
      <c r="K31" s="40">
        <f t="shared" si="12"/>
        <v>10.64</v>
      </c>
      <c r="L31" s="40">
        <f t="shared" si="12"/>
        <v>12.57</v>
      </c>
      <c r="M31" s="40">
        <f t="shared" si="12"/>
        <v>14.5</v>
      </c>
      <c r="N31" s="40">
        <f t="shared" si="12"/>
        <v>15.47</v>
      </c>
      <c r="O31" s="40">
        <f t="shared" si="12"/>
        <v>16.43</v>
      </c>
      <c r="P31" s="40">
        <f t="shared" si="13"/>
        <v>18.36</v>
      </c>
      <c r="Q31" s="40">
        <f t="shared" si="13"/>
        <v>20.29</v>
      </c>
      <c r="R31" s="40">
        <f t="shared" si="13"/>
        <v>22.22</v>
      </c>
      <c r="S31" s="40">
        <f t="shared" si="13"/>
        <v>25.11</v>
      </c>
      <c r="T31" s="40">
        <f t="shared" si="13"/>
        <v>26.08</v>
      </c>
      <c r="U31" s="40">
        <f t="shared" si="13"/>
        <v>28</v>
      </c>
      <c r="V31" s="40">
        <f t="shared" si="13"/>
        <v>29.93</v>
      </c>
    </row>
    <row r="32" spans="1:22">
      <c r="A32" s="95">
        <f t="shared" si="5"/>
        <v>43</v>
      </c>
      <c r="B32" s="57">
        <f t="shared" si="0"/>
        <v>9.99</v>
      </c>
      <c r="C32" s="58">
        <f t="shared" si="10"/>
        <v>0.36</v>
      </c>
      <c r="D32" s="58">
        <f t="shared" si="11"/>
        <v>0.41</v>
      </c>
      <c r="E32" s="94">
        <f>IF(OR($B32="", VLOOKUP(Plan,Table,4,FALSE)={"CHILD","CH0611","CHILDG"}), "",52)</f>
        <v>52</v>
      </c>
      <c r="F32" s="40">
        <f t="shared" si="12"/>
        <v>3.07</v>
      </c>
      <c r="G32" s="40">
        <f t="shared" si="12"/>
        <v>5.14</v>
      </c>
      <c r="H32" s="40">
        <f t="shared" si="12"/>
        <v>6.17</v>
      </c>
      <c r="I32" s="40">
        <f t="shared" si="12"/>
        <v>7.21</v>
      </c>
      <c r="J32" s="40">
        <f t="shared" si="12"/>
        <v>9.2799999999999994</v>
      </c>
      <c r="K32" s="40">
        <f t="shared" si="12"/>
        <v>11.35</v>
      </c>
      <c r="L32" s="40">
        <f t="shared" si="12"/>
        <v>13.42</v>
      </c>
      <c r="M32" s="40">
        <f t="shared" si="12"/>
        <v>15.48</v>
      </c>
      <c r="N32" s="40">
        <f t="shared" si="12"/>
        <v>16.52</v>
      </c>
      <c r="O32" s="40">
        <f t="shared" si="12"/>
        <v>17.55</v>
      </c>
      <c r="P32" s="40">
        <f t="shared" si="13"/>
        <v>19.62</v>
      </c>
      <c r="Q32" s="40">
        <f t="shared" si="13"/>
        <v>21.69</v>
      </c>
      <c r="R32" s="40">
        <f t="shared" si="13"/>
        <v>23.76</v>
      </c>
      <c r="S32" s="40">
        <f t="shared" si="13"/>
        <v>26.87</v>
      </c>
      <c r="T32" s="40">
        <f t="shared" si="13"/>
        <v>27.9</v>
      </c>
      <c r="U32" s="40">
        <f t="shared" si="13"/>
        <v>29.97</v>
      </c>
      <c r="V32" s="40">
        <f t="shared" si="13"/>
        <v>32.04</v>
      </c>
    </row>
    <row r="33" spans="1:22">
      <c r="A33" s="95">
        <f t="shared" si="5"/>
        <v>44</v>
      </c>
      <c r="B33" s="57">
        <f t="shared" si="0"/>
        <v>10.71</v>
      </c>
      <c r="C33" s="58">
        <f t="shared" si="10"/>
        <v>0.39</v>
      </c>
      <c r="D33" s="58">
        <f t="shared" si="11"/>
        <v>0.44</v>
      </c>
      <c r="E33" s="94">
        <f>IF(OR($B33="", VLOOKUP(Plan,Table,4,FALSE)={"CHILD","CH0611","CHILDG"}), "",52)</f>
        <v>52</v>
      </c>
      <c r="F33" s="40">
        <f t="shared" si="12"/>
        <v>3.22</v>
      </c>
      <c r="G33" s="40">
        <f t="shared" si="12"/>
        <v>5.44</v>
      </c>
      <c r="H33" s="40">
        <f t="shared" si="12"/>
        <v>6.55</v>
      </c>
      <c r="I33" s="40">
        <f t="shared" si="12"/>
        <v>7.66</v>
      </c>
      <c r="J33" s="40">
        <f t="shared" si="12"/>
        <v>9.8800000000000008</v>
      </c>
      <c r="K33" s="40">
        <f t="shared" si="12"/>
        <v>12.1</v>
      </c>
      <c r="L33" s="40">
        <f t="shared" si="12"/>
        <v>14.32</v>
      </c>
      <c r="M33" s="40">
        <f t="shared" si="12"/>
        <v>16.53</v>
      </c>
      <c r="N33" s="40">
        <f t="shared" si="12"/>
        <v>17.64</v>
      </c>
      <c r="O33" s="40">
        <f t="shared" si="12"/>
        <v>18.75</v>
      </c>
      <c r="P33" s="40">
        <f t="shared" si="13"/>
        <v>20.97</v>
      </c>
      <c r="Q33" s="40">
        <f t="shared" si="13"/>
        <v>23.19</v>
      </c>
      <c r="R33" s="40">
        <f t="shared" si="13"/>
        <v>25.41</v>
      </c>
      <c r="S33" s="40">
        <f t="shared" si="13"/>
        <v>28.74</v>
      </c>
      <c r="T33" s="40">
        <f t="shared" si="13"/>
        <v>29.85</v>
      </c>
      <c r="U33" s="40">
        <f t="shared" si="13"/>
        <v>32.07</v>
      </c>
      <c r="V33" s="40">
        <f t="shared" si="13"/>
        <v>34.29</v>
      </c>
    </row>
    <row r="34" spans="1:22">
      <c r="A34" s="95">
        <f t="shared" si="5"/>
        <v>45</v>
      </c>
      <c r="B34" s="57">
        <f t="shared" si="0"/>
        <v>11.47</v>
      </c>
      <c r="C34" s="58">
        <f t="shared" si="10"/>
        <v>0.42</v>
      </c>
      <c r="D34" s="58">
        <f t="shared" si="11"/>
        <v>0.46</v>
      </c>
      <c r="E34" s="94">
        <f>IF(OR($B34="", VLOOKUP(Plan,Table,4,FALSE)={"CHILD","CH0611","CHILDG"}), "",52)</f>
        <v>52</v>
      </c>
      <c r="F34" s="40">
        <f t="shared" si="12"/>
        <v>3.38</v>
      </c>
      <c r="G34" s="40">
        <f t="shared" si="12"/>
        <v>5.75</v>
      </c>
      <c r="H34" s="40">
        <f t="shared" si="12"/>
        <v>6.94</v>
      </c>
      <c r="I34" s="40">
        <f t="shared" si="12"/>
        <v>8.1300000000000008</v>
      </c>
      <c r="J34" s="40">
        <f t="shared" si="12"/>
        <v>10.5</v>
      </c>
      <c r="K34" s="40">
        <f t="shared" si="12"/>
        <v>12.88</v>
      </c>
      <c r="L34" s="40">
        <f t="shared" si="12"/>
        <v>15.25</v>
      </c>
      <c r="M34" s="40">
        <f t="shared" si="12"/>
        <v>17.63</v>
      </c>
      <c r="N34" s="40">
        <f t="shared" si="12"/>
        <v>18.809999999999999</v>
      </c>
      <c r="O34" s="40">
        <f t="shared" si="12"/>
        <v>20</v>
      </c>
      <c r="P34" s="40">
        <f t="shared" si="13"/>
        <v>22.38</v>
      </c>
      <c r="Q34" s="40">
        <f t="shared" si="13"/>
        <v>24.75</v>
      </c>
      <c r="R34" s="40">
        <f t="shared" si="13"/>
        <v>27.13</v>
      </c>
      <c r="S34" s="40">
        <f t="shared" si="13"/>
        <v>30.69</v>
      </c>
      <c r="T34" s="40">
        <f t="shared" si="13"/>
        <v>31.88</v>
      </c>
      <c r="U34" s="40">
        <f t="shared" si="13"/>
        <v>34.25</v>
      </c>
      <c r="V34" s="40">
        <f t="shared" si="13"/>
        <v>36.630000000000003</v>
      </c>
    </row>
    <row r="35" spans="1:22">
      <c r="A35" s="95">
        <f t="shared" si="5"/>
        <v>46</v>
      </c>
      <c r="B35" s="57">
        <f t="shared" si="0"/>
        <v>12.25</v>
      </c>
      <c r="C35" s="58">
        <f t="shared" si="10"/>
        <v>0.67</v>
      </c>
      <c r="D35" s="58">
        <f t="shared" si="11"/>
        <v>0.51</v>
      </c>
      <c r="E35" s="94">
        <f>IF(OR($B35="", VLOOKUP(Plan,Table,4,FALSE)={"CHILD","CH0611","CHILDG"}), "",52)</f>
        <v>52</v>
      </c>
      <c r="F35" s="40">
        <f t="shared" si="12"/>
        <v>3.58</v>
      </c>
      <c r="G35" s="40">
        <f t="shared" si="12"/>
        <v>6.17</v>
      </c>
      <c r="H35" s="40">
        <f t="shared" si="12"/>
        <v>7.46</v>
      </c>
      <c r="I35" s="40">
        <f t="shared" si="12"/>
        <v>8.75</v>
      </c>
      <c r="J35" s="40">
        <f t="shared" si="12"/>
        <v>11.33</v>
      </c>
      <c r="K35" s="40">
        <f t="shared" si="12"/>
        <v>13.91</v>
      </c>
      <c r="L35" s="40">
        <f t="shared" si="12"/>
        <v>16.5</v>
      </c>
      <c r="M35" s="40">
        <f t="shared" si="12"/>
        <v>19.079999999999998</v>
      </c>
      <c r="N35" s="40">
        <f t="shared" si="12"/>
        <v>20.37</v>
      </c>
      <c r="O35" s="40">
        <f t="shared" si="12"/>
        <v>21.66</v>
      </c>
      <c r="P35" s="40">
        <f t="shared" si="13"/>
        <v>24.24</v>
      </c>
      <c r="Q35" s="40">
        <f t="shared" si="13"/>
        <v>26.83</v>
      </c>
      <c r="R35" s="40">
        <f t="shared" si="13"/>
        <v>29.41</v>
      </c>
      <c r="S35" s="40">
        <f t="shared" si="13"/>
        <v>33.28</v>
      </c>
      <c r="T35" s="40">
        <f t="shared" si="13"/>
        <v>34.58</v>
      </c>
      <c r="U35" s="40">
        <f t="shared" si="13"/>
        <v>37.159999999999997</v>
      </c>
      <c r="V35" s="40">
        <f t="shared" si="13"/>
        <v>39.74</v>
      </c>
    </row>
    <row r="36" spans="1:22">
      <c r="A36" s="95">
        <f t="shared" si="5"/>
        <v>47</v>
      </c>
      <c r="B36" s="57">
        <f t="shared" si="0"/>
        <v>13.06</v>
      </c>
      <c r="C36" s="58">
        <f t="shared" si="10"/>
        <v>0.71</v>
      </c>
      <c r="D36" s="58">
        <f t="shared" si="11"/>
        <v>0.56999999999999995</v>
      </c>
      <c r="E36" s="94">
        <f>IF(OR($B36="", VLOOKUP(Plan,Table,4,FALSE)={"CHILD","CH0611","CHILDG"}), "",52)</f>
        <v>52</v>
      </c>
      <c r="F36" s="40">
        <f t="shared" si="12"/>
        <v>3.76</v>
      </c>
      <c r="G36" s="40">
        <f t="shared" si="12"/>
        <v>6.52</v>
      </c>
      <c r="H36" s="40">
        <f t="shared" si="12"/>
        <v>7.89</v>
      </c>
      <c r="I36" s="40">
        <f t="shared" si="12"/>
        <v>9.27</v>
      </c>
      <c r="J36" s="40">
        <f t="shared" si="12"/>
        <v>12.03</v>
      </c>
      <c r="K36" s="40">
        <f t="shared" si="12"/>
        <v>14.79</v>
      </c>
      <c r="L36" s="40">
        <f t="shared" si="12"/>
        <v>17.55</v>
      </c>
      <c r="M36" s="40">
        <f t="shared" si="12"/>
        <v>20.3</v>
      </c>
      <c r="N36" s="40">
        <f t="shared" si="12"/>
        <v>21.68</v>
      </c>
      <c r="O36" s="40">
        <f t="shared" si="12"/>
        <v>23.06</v>
      </c>
      <c r="P36" s="40">
        <f t="shared" si="13"/>
        <v>25.82</v>
      </c>
      <c r="Q36" s="40">
        <f t="shared" si="13"/>
        <v>28.58</v>
      </c>
      <c r="R36" s="40">
        <f t="shared" si="13"/>
        <v>31.33</v>
      </c>
      <c r="S36" s="40">
        <f t="shared" si="13"/>
        <v>35.47</v>
      </c>
      <c r="T36" s="40">
        <f t="shared" si="13"/>
        <v>36.85</v>
      </c>
      <c r="U36" s="40">
        <f t="shared" si="13"/>
        <v>39.61</v>
      </c>
      <c r="V36" s="40">
        <f t="shared" si="13"/>
        <v>42.37</v>
      </c>
    </row>
    <row r="37" spans="1:22">
      <c r="A37" s="95">
        <f t="shared" si="5"/>
        <v>48</v>
      </c>
      <c r="B37" s="57">
        <f t="shared" si="0"/>
        <v>13.89</v>
      </c>
      <c r="C37" s="58">
        <f t="shared" si="10"/>
        <v>0.76</v>
      </c>
      <c r="D37" s="58">
        <f t="shared" si="11"/>
        <v>0.62</v>
      </c>
      <c r="E37" s="94">
        <f>IF(OR($B37="", VLOOKUP(Plan,Table,4,FALSE)={"CHILD","CH0611","CHILDG"}), "",52)</f>
        <v>52</v>
      </c>
      <c r="F37" s="40">
        <f t="shared" si="12"/>
        <v>3.94</v>
      </c>
      <c r="G37" s="40">
        <f t="shared" si="12"/>
        <v>6.87</v>
      </c>
      <c r="H37" s="40">
        <f t="shared" si="12"/>
        <v>8.34</v>
      </c>
      <c r="I37" s="40">
        <f t="shared" si="12"/>
        <v>9.81</v>
      </c>
      <c r="J37" s="40">
        <f t="shared" si="12"/>
        <v>12.75</v>
      </c>
      <c r="K37" s="40">
        <f t="shared" si="12"/>
        <v>15.68</v>
      </c>
      <c r="L37" s="40">
        <f t="shared" si="12"/>
        <v>18.62</v>
      </c>
      <c r="M37" s="40">
        <f t="shared" si="12"/>
        <v>21.56</v>
      </c>
      <c r="N37" s="40">
        <f t="shared" si="12"/>
        <v>23.02</v>
      </c>
      <c r="O37" s="40">
        <f t="shared" si="12"/>
        <v>24.49</v>
      </c>
      <c r="P37" s="40">
        <f t="shared" si="13"/>
        <v>27.43</v>
      </c>
      <c r="Q37" s="40">
        <f t="shared" si="13"/>
        <v>30.37</v>
      </c>
      <c r="R37" s="40">
        <f t="shared" si="13"/>
        <v>33.299999999999997</v>
      </c>
      <c r="S37" s="40">
        <f t="shared" si="13"/>
        <v>37.71</v>
      </c>
      <c r="T37" s="40">
        <f t="shared" si="13"/>
        <v>39.18</v>
      </c>
      <c r="U37" s="40">
        <f t="shared" si="13"/>
        <v>42.11</v>
      </c>
      <c r="V37" s="40">
        <f t="shared" si="13"/>
        <v>45.05</v>
      </c>
    </row>
    <row r="38" spans="1:22">
      <c r="A38" s="95">
        <f t="shared" si="5"/>
        <v>49</v>
      </c>
      <c r="B38" s="57">
        <f t="shared" si="0"/>
        <v>14.78</v>
      </c>
      <c r="C38" s="58">
        <f t="shared" si="10"/>
        <v>0.81</v>
      </c>
      <c r="D38" s="58">
        <f t="shared" si="11"/>
        <v>0.68</v>
      </c>
      <c r="E38" s="94">
        <f>IF(OR($B38="", VLOOKUP(Plan,Table,4,FALSE)={"CHILD","CH0611","CHILDG"}), "",52)</f>
        <v>52</v>
      </c>
      <c r="F38" s="40">
        <f t="shared" si="12"/>
        <v>4.13</v>
      </c>
      <c r="G38" s="40">
        <f t="shared" si="12"/>
        <v>7.26</v>
      </c>
      <c r="H38" s="40">
        <f t="shared" si="12"/>
        <v>8.82</v>
      </c>
      <c r="I38" s="40">
        <f t="shared" si="12"/>
        <v>10.39</v>
      </c>
      <c r="J38" s="40">
        <f t="shared" si="12"/>
        <v>13.52</v>
      </c>
      <c r="K38" s="40">
        <f t="shared" si="12"/>
        <v>16.64</v>
      </c>
      <c r="L38" s="40">
        <f t="shared" si="12"/>
        <v>19.77</v>
      </c>
      <c r="M38" s="40">
        <f t="shared" si="12"/>
        <v>22.9</v>
      </c>
      <c r="N38" s="40">
        <f t="shared" si="12"/>
        <v>24.47</v>
      </c>
      <c r="O38" s="40">
        <f t="shared" si="12"/>
        <v>26.03</v>
      </c>
      <c r="P38" s="40">
        <f t="shared" si="13"/>
        <v>29.16</v>
      </c>
      <c r="Q38" s="40">
        <f t="shared" si="13"/>
        <v>32.29</v>
      </c>
      <c r="R38" s="40">
        <f t="shared" si="13"/>
        <v>35.42</v>
      </c>
      <c r="S38" s="40">
        <f t="shared" si="13"/>
        <v>40.11</v>
      </c>
      <c r="T38" s="40">
        <f t="shared" si="13"/>
        <v>41.68</v>
      </c>
      <c r="U38" s="40">
        <f t="shared" si="13"/>
        <v>44.8</v>
      </c>
      <c r="V38" s="40">
        <f t="shared" si="13"/>
        <v>47.93</v>
      </c>
    </row>
    <row r="39" spans="1:22">
      <c r="A39" s="95">
        <f t="shared" si="5"/>
        <v>50</v>
      </c>
      <c r="B39" s="57">
        <f t="shared" ref="B39:B59" si="14">IF(AND(MATCH(VLOOKUP(Plan,Table,4,FALSE),PremiumRatekey,FALSE)&lt;=3, $A39&lt;&gt;20),"", VLOOKUP($A39,PremiumRate,MATCH(VLOOKUP(Plan,Table,4,FALSE),PremiumRatekey,FALSE)+1,FALSE))</f>
        <v>15.76</v>
      </c>
      <c r="C39" s="58">
        <f t="shared" si="10"/>
        <v>0.86</v>
      </c>
      <c r="D39" s="58">
        <f t="shared" si="11"/>
        <v>0.73</v>
      </c>
      <c r="E39" s="94">
        <f>IF(OR($B39="", VLOOKUP(Plan,Table,4,FALSE)={"CHILD","CH0611","CHILDG"}), "",52)</f>
        <v>52</v>
      </c>
      <c r="F39" s="40">
        <f t="shared" ref="F39:O48" si="15">IF($B39="", "", ROUND((ROUND($B39*F$3/1000,2)+IF($C39&lt;&gt;"", ROUND($C39*F$3/1000,2), 0)+IF($D39&lt;&gt;"", ROUND($D39*F$3/1000,2), 0)+IF($E39&lt;&gt;"", $E39, 0))/mode,2))</f>
        <v>4.34</v>
      </c>
      <c r="G39" s="40">
        <f t="shared" si="15"/>
        <v>7.67</v>
      </c>
      <c r="H39" s="40">
        <f t="shared" si="15"/>
        <v>9.34</v>
      </c>
      <c r="I39" s="40">
        <f t="shared" si="15"/>
        <v>11.01</v>
      </c>
      <c r="J39" s="40">
        <f t="shared" si="15"/>
        <v>14.35</v>
      </c>
      <c r="K39" s="40">
        <f t="shared" si="15"/>
        <v>17.68</v>
      </c>
      <c r="L39" s="40">
        <f t="shared" si="15"/>
        <v>21.02</v>
      </c>
      <c r="M39" s="40">
        <f t="shared" si="15"/>
        <v>24.36</v>
      </c>
      <c r="N39" s="40">
        <f t="shared" si="15"/>
        <v>26.02</v>
      </c>
      <c r="O39" s="40">
        <f t="shared" si="15"/>
        <v>27.69</v>
      </c>
      <c r="P39" s="40">
        <f t="shared" ref="P39:V48" si="16">IF($B39="", "", ROUND((ROUND($B39*P$3/1000,2)+IF($C39&lt;&gt;"", ROUND($C39*P$3/1000,2), 0)+IF($D39&lt;&gt;"", ROUND($D39*P$3/1000,2), 0)+IF($E39&lt;&gt;"", $E39, 0))/mode,2))</f>
        <v>31.03</v>
      </c>
      <c r="Q39" s="40">
        <f t="shared" si="16"/>
        <v>34.369999999999997</v>
      </c>
      <c r="R39" s="40">
        <f t="shared" si="16"/>
        <v>37.700000000000003</v>
      </c>
      <c r="S39" s="40">
        <f t="shared" si="16"/>
        <v>42.71</v>
      </c>
      <c r="T39" s="40">
        <f t="shared" si="16"/>
        <v>44.38</v>
      </c>
      <c r="U39" s="40">
        <f t="shared" si="16"/>
        <v>47.71</v>
      </c>
      <c r="V39" s="40">
        <f t="shared" si="16"/>
        <v>51.05</v>
      </c>
    </row>
    <row r="40" spans="1:22">
      <c r="A40" s="95">
        <f t="shared" si="5"/>
        <v>51</v>
      </c>
      <c r="B40" s="57">
        <f t="shared" si="14"/>
        <v>16.87</v>
      </c>
      <c r="C40" s="58">
        <f t="shared" si="10"/>
        <v>1.23</v>
      </c>
      <c r="D40" s="58">
        <f t="shared" si="11"/>
        <v>0.78</v>
      </c>
      <c r="E40" s="94">
        <f>IF(OR($B40="", VLOOKUP(Plan,Table,4,FALSE)={"CHILD","CH0611","CHILDG"}), "",52)</f>
        <v>52</v>
      </c>
      <c r="F40" s="40">
        <f t="shared" si="15"/>
        <v>4.63</v>
      </c>
      <c r="G40" s="40">
        <f t="shared" si="15"/>
        <v>8.26</v>
      </c>
      <c r="H40" s="40">
        <f t="shared" si="15"/>
        <v>10.08</v>
      </c>
      <c r="I40" s="40">
        <f t="shared" si="15"/>
        <v>11.89</v>
      </c>
      <c r="J40" s="40">
        <f t="shared" si="15"/>
        <v>15.52</v>
      </c>
      <c r="K40" s="40">
        <f t="shared" si="15"/>
        <v>19.149999999999999</v>
      </c>
      <c r="L40" s="40">
        <f t="shared" si="15"/>
        <v>22.78</v>
      </c>
      <c r="M40" s="40">
        <f t="shared" si="15"/>
        <v>26.42</v>
      </c>
      <c r="N40" s="40">
        <f t="shared" si="15"/>
        <v>28.23</v>
      </c>
      <c r="O40" s="40">
        <f t="shared" si="15"/>
        <v>30.05</v>
      </c>
      <c r="P40" s="40">
        <f t="shared" si="16"/>
        <v>33.68</v>
      </c>
      <c r="Q40" s="40">
        <f t="shared" si="16"/>
        <v>37.31</v>
      </c>
      <c r="R40" s="40">
        <f t="shared" si="16"/>
        <v>40.94</v>
      </c>
      <c r="S40" s="40">
        <f t="shared" si="16"/>
        <v>46.38</v>
      </c>
      <c r="T40" s="40">
        <f t="shared" si="16"/>
        <v>48.2</v>
      </c>
      <c r="U40" s="40">
        <f t="shared" si="16"/>
        <v>51.83</v>
      </c>
      <c r="V40" s="40">
        <f t="shared" si="16"/>
        <v>55.46</v>
      </c>
    </row>
    <row r="41" spans="1:22">
      <c r="A41" s="95">
        <f t="shared" si="5"/>
        <v>52</v>
      </c>
      <c r="B41" s="57">
        <f t="shared" si="14"/>
        <v>18.149999999999999</v>
      </c>
      <c r="C41" s="58">
        <f t="shared" si="10"/>
        <v>1.32</v>
      </c>
      <c r="D41" s="58">
        <f t="shared" si="11"/>
        <v>0.84</v>
      </c>
      <c r="E41" s="94">
        <f>IF(OR($B41="", VLOOKUP(Plan,Table,4,FALSE)={"CHILD","CH0611","CHILDG"}), "",52)</f>
        <v>52</v>
      </c>
      <c r="F41" s="40">
        <f t="shared" si="15"/>
        <v>4.91</v>
      </c>
      <c r="G41" s="40">
        <f t="shared" si="15"/>
        <v>8.81</v>
      </c>
      <c r="H41" s="40">
        <f t="shared" si="15"/>
        <v>10.76</v>
      </c>
      <c r="I41" s="40">
        <f t="shared" si="15"/>
        <v>12.72</v>
      </c>
      <c r="J41" s="40">
        <f t="shared" si="15"/>
        <v>16.62</v>
      </c>
      <c r="K41" s="40">
        <f t="shared" si="15"/>
        <v>20.53</v>
      </c>
      <c r="L41" s="40">
        <f t="shared" si="15"/>
        <v>24.43</v>
      </c>
      <c r="M41" s="40">
        <f t="shared" si="15"/>
        <v>28.34</v>
      </c>
      <c r="N41" s="40">
        <f t="shared" si="15"/>
        <v>30.29</v>
      </c>
      <c r="O41" s="40">
        <f t="shared" si="15"/>
        <v>32.25</v>
      </c>
      <c r="P41" s="40">
        <f t="shared" si="16"/>
        <v>36.15</v>
      </c>
      <c r="Q41" s="40">
        <f t="shared" si="16"/>
        <v>40.06</v>
      </c>
      <c r="R41" s="40">
        <f t="shared" si="16"/>
        <v>43.96</v>
      </c>
      <c r="S41" s="40">
        <f t="shared" si="16"/>
        <v>49.82</v>
      </c>
      <c r="T41" s="40">
        <f t="shared" si="16"/>
        <v>51.78</v>
      </c>
      <c r="U41" s="40">
        <f t="shared" si="16"/>
        <v>55.68</v>
      </c>
      <c r="V41" s="40">
        <f t="shared" si="16"/>
        <v>59.59</v>
      </c>
    </row>
    <row r="42" spans="1:22">
      <c r="A42" s="95">
        <f t="shared" si="5"/>
        <v>53</v>
      </c>
      <c r="B42" s="57">
        <f t="shared" si="14"/>
        <v>19.59</v>
      </c>
      <c r="C42" s="58">
        <f t="shared" si="10"/>
        <v>1.42</v>
      </c>
      <c r="D42" s="58">
        <f t="shared" si="11"/>
        <v>0.89</v>
      </c>
      <c r="E42" s="94">
        <f>IF(OR($B42="", VLOOKUP(Plan,Table,4,FALSE)={"CHILD","CH0611","CHILDG"}), "",52)</f>
        <v>52</v>
      </c>
      <c r="F42" s="40">
        <f t="shared" si="15"/>
        <v>5.21</v>
      </c>
      <c r="G42" s="40">
        <f t="shared" si="15"/>
        <v>9.42</v>
      </c>
      <c r="H42" s="40">
        <f t="shared" si="15"/>
        <v>11.53</v>
      </c>
      <c r="I42" s="40">
        <f t="shared" si="15"/>
        <v>13.63</v>
      </c>
      <c r="J42" s="40">
        <f t="shared" si="15"/>
        <v>17.850000000000001</v>
      </c>
      <c r="K42" s="40">
        <f t="shared" si="15"/>
        <v>22.06</v>
      </c>
      <c r="L42" s="40">
        <f t="shared" si="15"/>
        <v>26.27</v>
      </c>
      <c r="M42" s="40">
        <f t="shared" si="15"/>
        <v>30.48</v>
      </c>
      <c r="N42" s="40">
        <f t="shared" si="15"/>
        <v>32.590000000000003</v>
      </c>
      <c r="O42" s="40">
        <f t="shared" si="15"/>
        <v>34.69</v>
      </c>
      <c r="P42" s="40">
        <f t="shared" si="16"/>
        <v>38.9</v>
      </c>
      <c r="Q42" s="40">
        <f t="shared" si="16"/>
        <v>43.12</v>
      </c>
      <c r="R42" s="40">
        <f t="shared" si="16"/>
        <v>47.33</v>
      </c>
      <c r="S42" s="40">
        <f t="shared" si="16"/>
        <v>53.64</v>
      </c>
      <c r="T42" s="40">
        <f t="shared" si="16"/>
        <v>55.75</v>
      </c>
      <c r="U42" s="40">
        <f t="shared" si="16"/>
        <v>59.96</v>
      </c>
      <c r="V42" s="40">
        <f t="shared" si="16"/>
        <v>64.17</v>
      </c>
    </row>
    <row r="43" spans="1:22">
      <c r="A43" s="95">
        <f t="shared" si="5"/>
        <v>54</v>
      </c>
      <c r="B43" s="57">
        <f t="shared" si="14"/>
        <v>21.2</v>
      </c>
      <c r="C43" s="58">
        <f t="shared" si="10"/>
        <v>1.54</v>
      </c>
      <c r="D43" s="58">
        <f t="shared" si="11"/>
        <v>0.95</v>
      </c>
      <c r="E43" s="94">
        <f>IF(OR($B43="", VLOOKUP(Plan,Table,4,FALSE)={"CHILD","CH0611","CHILDG"}), "",52)</f>
        <v>52</v>
      </c>
      <c r="F43" s="40">
        <f t="shared" si="15"/>
        <v>5.56</v>
      </c>
      <c r="G43" s="40">
        <f t="shared" si="15"/>
        <v>10.11</v>
      </c>
      <c r="H43" s="40">
        <f t="shared" si="15"/>
        <v>12.39</v>
      </c>
      <c r="I43" s="40">
        <f t="shared" si="15"/>
        <v>14.67</v>
      </c>
      <c r="J43" s="40">
        <f t="shared" si="15"/>
        <v>19.22</v>
      </c>
      <c r="K43" s="40">
        <f t="shared" si="15"/>
        <v>23.78</v>
      </c>
      <c r="L43" s="40">
        <f t="shared" si="15"/>
        <v>28.33</v>
      </c>
      <c r="M43" s="40">
        <f t="shared" si="15"/>
        <v>32.89</v>
      </c>
      <c r="N43" s="40">
        <f t="shared" si="15"/>
        <v>35.17</v>
      </c>
      <c r="O43" s="40">
        <f t="shared" si="15"/>
        <v>37.450000000000003</v>
      </c>
      <c r="P43" s="40">
        <f t="shared" si="16"/>
        <v>42</v>
      </c>
      <c r="Q43" s="40">
        <f t="shared" si="16"/>
        <v>46.56</v>
      </c>
      <c r="R43" s="40">
        <f t="shared" si="16"/>
        <v>51.11</v>
      </c>
      <c r="S43" s="40">
        <f t="shared" si="16"/>
        <v>57.95</v>
      </c>
      <c r="T43" s="40">
        <f t="shared" si="16"/>
        <v>60.23</v>
      </c>
      <c r="U43" s="40">
        <f t="shared" si="16"/>
        <v>64.78</v>
      </c>
      <c r="V43" s="40">
        <f t="shared" si="16"/>
        <v>69.34</v>
      </c>
    </row>
    <row r="44" spans="1:22">
      <c r="A44" s="95">
        <f t="shared" si="5"/>
        <v>55</v>
      </c>
      <c r="B44" s="57">
        <f t="shared" si="14"/>
        <v>22.92</v>
      </c>
      <c r="C44" s="58">
        <f t="shared" si="10"/>
        <v>1.67</v>
      </c>
      <c r="D44" s="58">
        <f t="shared" si="11"/>
        <v>1</v>
      </c>
      <c r="E44" s="94">
        <f>IF(OR($B44="", VLOOKUP(Plan,Table,4,FALSE)={"CHILD","CH0611","CHILDG"}), "",52)</f>
        <v>52</v>
      </c>
      <c r="F44" s="40">
        <f t="shared" si="15"/>
        <v>5.92</v>
      </c>
      <c r="G44" s="40">
        <f t="shared" si="15"/>
        <v>10.84</v>
      </c>
      <c r="H44" s="40">
        <f t="shared" si="15"/>
        <v>13.3</v>
      </c>
      <c r="I44" s="40">
        <f t="shared" si="15"/>
        <v>15.76</v>
      </c>
      <c r="J44" s="40">
        <f t="shared" si="15"/>
        <v>20.68</v>
      </c>
      <c r="K44" s="40">
        <f t="shared" si="15"/>
        <v>25.61</v>
      </c>
      <c r="L44" s="40">
        <f t="shared" si="15"/>
        <v>30.53</v>
      </c>
      <c r="M44" s="40">
        <f t="shared" si="15"/>
        <v>35.450000000000003</v>
      </c>
      <c r="N44" s="40">
        <f t="shared" si="15"/>
        <v>37.909999999999997</v>
      </c>
      <c r="O44" s="40">
        <f t="shared" si="15"/>
        <v>40.369999999999997</v>
      </c>
      <c r="P44" s="40">
        <f t="shared" si="16"/>
        <v>45.29</v>
      </c>
      <c r="Q44" s="40">
        <f t="shared" si="16"/>
        <v>50.21</v>
      </c>
      <c r="R44" s="40">
        <f t="shared" si="16"/>
        <v>55.13</v>
      </c>
      <c r="S44" s="40">
        <f t="shared" si="16"/>
        <v>62.51</v>
      </c>
      <c r="T44" s="40">
        <f t="shared" si="16"/>
        <v>64.98</v>
      </c>
      <c r="U44" s="40">
        <f t="shared" si="16"/>
        <v>69.900000000000006</v>
      </c>
      <c r="V44" s="40">
        <f t="shared" si="16"/>
        <v>74.819999999999993</v>
      </c>
    </row>
    <row r="45" spans="1:22">
      <c r="A45" s="95">
        <f t="shared" si="5"/>
        <v>56</v>
      </c>
      <c r="B45" s="57">
        <f t="shared" si="14"/>
        <v>24.75</v>
      </c>
      <c r="C45" s="58" t="str">
        <f t="shared" si="10"/>
        <v/>
      </c>
      <c r="D45" s="58">
        <f t="shared" si="11"/>
        <v>1.17</v>
      </c>
      <c r="E45" s="94">
        <f>IF(OR($B45="", VLOOKUP(Plan,Table,4,FALSE)={"CHILD","CH0611","CHILDG"}), "",52)</f>
        <v>52</v>
      </c>
      <c r="F45" s="40">
        <f t="shared" si="15"/>
        <v>5.98</v>
      </c>
      <c r="G45" s="40">
        <f t="shared" si="15"/>
        <v>10.97</v>
      </c>
      <c r="H45" s="40">
        <f t="shared" si="15"/>
        <v>13.46</v>
      </c>
      <c r="I45" s="40">
        <f t="shared" si="15"/>
        <v>15.95</v>
      </c>
      <c r="J45" s="40">
        <f t="shared" si="15"/>
        <v>20.94</v>
      </c>
      <c r="K45" s="40">
        <f t="shared" si="15"/>
        <v>25.92</v>
      </c>
      <c r="L45" s="40">
        <f t="shared" si="15"/>
        <v>30.91</v>
      </c>
      <c r="M45" s="40">
        <f t="shared" si="15"/>
        <v>35.89</v>
      </c>
      <c r="N45" s="40">
        <f t="shared" si="15"/>
        <v>38.380000000000003</v>
      </c>
      <c r="O45" s="40">
        <f t="shared" si="15"/>
        <v>40.880000000000003</v>
      </c>
      <c r="P45" s="40">
        <f t="shared" si="16"/>
        <v>45.86</v>
      </c>
      <c r="Q45" s="40">
        <f t="shared" si="16"/>
        <v>50.85</v>
      </c>
      <c r="R45" s="40">
        <f t="shared" si="16"/>
        <v>55.83</v>
      </c>
      <c r="S45" s="40">
        <f t="shared" si="16"/>
        <v>63.31</v>
      </c>
      <c r="T45" s="40">
        <f t="shared" si="16"/>
        <v>65.8</v>
      </c>
      <c r="U45" s="40">
        <f t="shared" si="16"/>
        <v>70.78</v>
      </c>
      <c r="V45" s="40">
        <f t="shared" si="16"/>
        <v>75.77</v>
      </c>
    </row>
    <row r="46" spans="1:22">
      <c r="A46" s="95">
        <f t="shared" si="5"/>
        <v>57</v>
      </c>
      <c r="B46" s="57">
        <f t="shared" si="14"/>
        <v>26.64</v>
      </c>
      <c r="C46" s="58" t="str">
        <f t="shared" si="10"/>
        <v/>
      </c>
      <c r="D46" s="58">
        <f t="shared" si="11"/>
        <v>1.35</v>
      </c>
      <c r="E46" s="94">
        <f>IF(OR($B46="", VLOOKUP(Plan,Table,4,FALSE)={"CHILD","CH0611","CHILDG"}), "",52)</f>
        <v>52</v>
      </c>
      <c r="F46" s="40">
        <f t="shared" si="15"/>
        <v>6.38</v>
      </c>
      <c r="G46" s="40">
        <f t="shared" si="15"/>
        <v>11.77</v>
      </c>
      <c r="H46" s="40">
        <f t="shared" si="15"/>
        <v>14.46</v>
      </c>
      <c r="I46" s="40">
        <f t="shared" si="15"/>
        <v>17.149999999999999</v>
      </c>
      <c r="J46" s="40">
        <f t="shared" si="15"/>
        <v>22.53</v>
      </c>
      <c r="K46" s="40">
        <f t="shared" si="15"/>
        <v>27.91</v>
      </c>
      <c r="L46" s="40">
        <f t="shared" si="15"/>
        <v>33.299999999999997</v>
      </c>
      <c r="M46" s="40">
        <f t="shared" si="15"/>
        <v>38.68</v>
      </c>
      <c r="N46" s="40">
        <f t="shared" si="15"/>
        <v>41.37</v>
      </c>
      <c r="O46" s="40">
        <f t="shared" si="15"/>
        <v>44.06</v>
      </c>
      <c r="P46" s="40">
        <f t="shared" si="16"/>
        <v>49.44</v>
      </c>
      <c r="Q46" s="40">
        <f t="shared" si="16"/>
        <v>54.83</v>
      </c>
      <c r="R46" s="40">
        <f t="shared" si="16"/>
        <v>60.21</v>
      </c>
      <c r="S46" s="40">
        <f t="shared" si="16"/>
        <v>68.28</v>
      </c>
      <c r="T46" s="40">
        <f t="shared" si="16"/>
        <v>70.98</v>
      </c>
      <c r="U46" s="40">
        <f t="shared" si="16"/>
        <v>76.36</v>
      </c>
      <c r="V46" s="40">
        <f t="shared" si="16"/>
        <v>81.739999999999995</v>
      </c>
    </row>
    <row r="47" spans="1:22">
      <c r="A47" s="95">
        <f t="shared" si="5"/>
        <v>58</v>
      </c>
      <c r="B47" s="57">
        <f t="shared" si="14"/>
        <v>28.58</v>
      </c>
      <c r="C47" s="58" t="str">
        <f t="shared" si="10"/>
        <v/>
      </c>
      <c r="D47" s="58">
        <f t="shared" si="11"/>
        <v>1.52</v>
      </c>
      <c r="E47" s="94">
        <f>IF(OR($B47="", VLOOKUP(Plan,Table,4,FALSE)={"CHILD","CH0611","CHILDG"}), "",52)</f>
        <v>52</v>
      </c>
      <c r="F47" s="40">
        <f t="shared" si="15"/>
        <v>6.79</v>
      </c>
      <c r="G47" s="40">
        <f t="shared" si="15"/>
        <v>12.58</v>
      </c>
      <c r="H47" s="40">
        <f t="shared" si="15"/>
        <v>15.47</v>
      </c>
      <c r="I47" s="40">
        <f t="shared" si="15"/>
        <v>18.37</v>
      </c>
      <c r="J47" s="40">
        <f t="shared" si="15"/>
        <v>24.15</v>
      </c>
      <c r="K47" s="40">
        <f t="shared" si="15"/>
        <v>29.94</v>
      </c>
      <c r="L47" s="40">
        <f t="shared" si="15"/>
        <v>35.729999999999997</v>
      </c>
      <c r="M47" s="40">
        <f t="shared" si="15"/>
        <v>41.52</v>
      </c>
      <c r="N47" s="40">
        <f t="shared" si="15"/>
        <v>44.41</v>
      </c>
      <c r="O47" s="40">
        <f t="shared" si="15"/>
        <v>47.31</v>
      </c>
      <c r="P47" s="40">
        <f t="shared" si="16"/>
        <v>53.1</v>
      </c>
      <c r="Q47" s="40">
        <f t="shared" si="16"/>
        <v>58.88</v>
      </c>
      <c r="R47" s="40">
        <f t="shared" si="16"/>
        <v>64.67</v>
      </c>
      <c r="S47" s="40">
        <f t="shared" si="16"/>
        <v>73.36</v>
      </c>
      <c r="T47" s="40">
        <f t="shared" si="16"/>
        <v>76.25</v>
      </c>
      <c r="U47" s="40">
        <f t="shared" si="16"/>
        <v>82.04</v>
      </c>
      <c r="V47" s="40">
        <f t="shared" si="16"/>
        <v>87.83</v>
      </c>
    </row>
    <row r="48" spans="1:22">
      <c r="A48" s="95">
        <f t="shared" si="5"/>
        <v>59</v>
      </c>
      <c r="B48" s="57">
        <f t="shared" si="14"/>
        <v>30.58</v>
      </c>
      <c r="C48" s="58" t="str">
        <f t="shared" si="10"/>
        <v/>
      </c>
      <c r="D48" s="58">
        <f t="shared" si="11"/>
        <v>1.69</v>
      </c>
      <c r="E48" s="94">
        <f>IF(OR($B48="", VLOOKUP(Plan,Table,4,FALSE)={"CHILD","CH0611","CHILDG"}), "",52)</f>
        <v>52</v>
      </c>
      <c r="F48" s="40">
        <f t="shared" si="15"/>
        <v>7.21</v>
      </c>
      <c r="G48" s="40">
        <f t="shared" si="15"/>
        <v>13.41</v>
      </c>
      <c r="H48" s="40">
        <f t="shared" si="15"/>
        <v>16.510000000000002</v>
      </c>
      <c r="I48" s="40">
        <f t="shared" si="15"/>
        <v>19.62</v>
      </c>
      <c r="J48" s="40">
        <f t="shared" si="15"/>
        <v>25.82</v>
      </c>
      <c r="K48" s="40">
        <f t="shared" si="15"/>
        <v>32.03</v>
      </c>
      <c r="L48" s="40">
        <f t="shared" si="15"/>
        <v>38.229999999999997</v>
      </c>
      <c r="M48" s="40">
        <f t="shared" si="15"/>
        <v>44.44</v>
      </c>
      <c r="N48" s="40">
        <f t="shared" si="15"/>
        <v>47.54</v>
      </c>
      <c r="O48" s="40">
        <f t="shared" si="15"/>
        <v>50.65</v>
      </c>
      <c r="P48" s="40">
        <f t="shared" si="16"/>
        <v>56.85</v>
      </c>
      <c r="Q48" s="40">
        <f t="shared" si="16"/>
        <v>63.06</v>
      </c>
      <c r="R48" s="40">
        <f t="shared" si="16"/>
        <v>69.260000000000005</v>
      </c>
      <c r="S48" s="40">
        <f t="shared" si="16"/>
        <v>78.569999999999993</v>
      </c>
      <c r="T48" s="40">
        <f t="shared" si="16"/>
        <v>81.680000000000007</v>
      </c>
      <c r="U48" s="40">
        <f t="shared" si="16"/>
        <v>87.88</v>
      </c>
      <c r="V48" s="40">
        <f t="shared" si="16"/>
        <v>94.09</v>
      </c>
    </row>
    <row r="49" spans="1:22">
      <c r="A49" s="95">
        <f t="shared" si="5"/>
        <v>60</v>
      </c>
      <c r="B49" s="57">
        <f t="shared" si="14"/>
        <v>32.67</v>
      </c>
      <c r="C49" s="58" t="str">
        <f t="shared" si="10"/>
        <v/>
      </c>
      <c r="D49" s="58">
        <f t="shared" si="11"/>
        <v>1.87</v>
      </c>
      <c r="E49" s="94">
        <f>IF(OR($B49="", VLOOKUP(Plan,Table,4,FALSE)={"CHILD","CH0611","CHILDG"}), "",52)</f>
        <v>52</v>
      </c>
      <c r="F49" s="40">
        <f t="shared" ref="F49:O59" si="17">IF($B49="", "", ROUND((ROUND($B49*F$3/1000,2)+IF($C49&lt;&gt;"", ROUND($C49*F$3/1000,2), 0)+IF($D49&lt;&gt;"", ROUND($D49*F$3/1000,2), 0)+IF($E49&lt;&gt;"", $E49, 0))/mode,2))</f>
        <v>7.64</v>
      </c>
      <c r="G49" s="40">
        <f t="shared" si="17"/>
        <v>14.28</v>
      </c>
      <c r="H49" s="40">
        <f t="shared" si="17"/>
        <v>17.61</v>
      </c>
      <c r="I49" s="40">
        <f t="shared" si="17"/>
        <v>20.93</v>
      </c>
      <c r="J49" s="40">
        <f t="shared" si="17"/>
        <v>27.57</v>
      </c>
      <c r="K49" s="40">
        <f t="shared" si="17"/>
        <v>34.21</v>
      </c>
      <c r="L49" s="40">
        <f t="shared" si="17"/>
        <v>40.85</v>
      </c>
      <c r="M49" s="40">
        <f t="shared" si="17"/>
        <v>47.5</v>
      </c>
      <c r="N49" s="40">
        <f t="shared" si="17"/>
        <v>50.82</v>
      </c>
      <c r="O49" s="40">
        <f t="shared" si="17"/>
        <v>54.14</v>
      </c>
      <c r="P49" s="40">
        <f t="shared" ref="P49:V59" si="18">IF($B49="", "", ROUND((ROUND($B49*P$3/1000,2)+IF($C49&lt;&gt;"", ROUND($C49*P$3/1000,2), 0)+IF($D49&lt;&gt;"", ROUND($D49*P$3/1000,2), 0)+IF($E49&lt;&gt;"", $E49, 0))/mode,2))</f>
        <v>60.78</v>
      </c>
      <c r="Q49" s="40">
        <f t="shared" si="18"/>
        <v>67.42</v>
      </c>
      <c r="R49" s="40">
        <f t="shared" si="18"/>
        <v>74.069999999999993</v>
      </c>
      <c r="S49" s="40">
        <f t="shared" si="18"/>
        <v>84.03</v>
      </c>
      <c r="T49" s="40">
        <f t="shared" si="18"/>
        <v>87.35</v>
      </c>
      <c r="U49" s="40">
        <f t="shared" si="18"/>
        <v>93.99</v>
      </c>
      <c r="V49" s="40">
        <f t="shared" si="18"/>
        <v>100.63</v>
      </c>
    </row>
    <row r="50" spans="1:22">
      <c r="A50" s="95">
        <f t="shared" si="5"/>
        <v>61</v>
      </c>
      <c r="B50" s="57">
        <f t="shared" si="14"/>
        <v>34.85</v>
      </c>
      <c r="C50" s="58" t="str">
        <f t="shared" si="10"/>
        <v/>
      </c>
      <c r="D50" s="58">
        <f t="shared" si="11"/>
        <v>2.04</v>
      </c>
      <c r="E50" s="94">
        <f>IF(OR($B50="", VLOOKUP(Plan,Table,4,FALSE)={"CHILD","CH0611","CHILDG"}), "",52)</f>
        <v>52</v>
      </c>
      <c r="F50" s="40">
        <f t="shared" si="17"/>
        <v>8.09</v>
      </c>
      <c r="G50" s="40">
        <f t="shared" si="17"/>
        <v>15.19</v>
      </c>
      <c r="H50" s="40">
        <f t="shared" si="17"/>
        <v>18.739999999999998</v>
      </c>
      <c r="I50" s="40">
        <f t="shared" si="17"/>
        <v>22.28</v>
      </c>
      <c r="J50" s="40">
        <f t="shared" si="17"/>
        <v>29.38</v>
      </c>
      <c r="K50" s="40">
        <f t="shared" si="17"/>
        <v>36.47</v>
      </c>
      <c r="L50" s="40">
        <f t="shared" si="17"/>
        <v>43.57</v>
      </c>
      <c r="M50" s="40">
        <f t="shared" si="17"/>
        <v>50.66</v>
      </c>
      <c r="N50" s="40">
        <f t="shared" si="17"/>
        <v>54.21</v>
      </c>
      <c r="O50" s="40">
        <f t="shared" si="17"/>
        <v>57.75</v>
      </c>
      <c r="P50" s="40">
        <f t="shared" si="18"/>
        <v>64.849999999999994</v>
      </c>
      <c r="Q50" s="40">
        <f t="shared" si="18"/>
        <v>71.94</v>
      </c>
      <c r="R50" s="40">
        <f t="shared" si="18"/>
        <v>79.040000000000006</v>
      </c>
      <c r="S50" s="40">
        <f t="shared" si="18"/>
        <v>89.68</v>
      </c>
      <c r="T50" s="40">
        <f t="shared" si="18"/>
        <v>93.23</v>
      </c>
      <c r="U50" s="40">
        <f t="shared" si="18"/>
        <v>100.32</v>
      </c>
      <c r="V50" s="40">
        <f t="shared" si="18"/>
        <v>107.41</v>
      </c>
    </row>
    <row r="51" spans="1:22">
      <c r="A51" s="95">
        <f t="shared" si="5"/>
        <v>62</v>
      </c>
      <c r="B51" s="57">
        <f t="shared" si="14"/>
        <v>37.14</v>
      </c>
      <c r="C51" s="58" t="str">
        <f t="shared" si="10"/>
        <v/>
      </c>
      <c r="D51" s="58">
        <f t="shared" si="11"/>
        <v>2.21</v>
      </c>
      <c r="E51" s="94">
        <f>IF(OR($B51="", VLOOKUP(Plan,Table,4,FALSE)={"CHILD","CH0611","CHILDG"}), "",52)</f>
        <v>52</v>
      </c>
      <c r="F51" s="40">
        <f t="shared" si="17"/>
        <v>8.57</v>
      </c>
      <c r="G51" s="40">
        <f t="shared" si="17"/>
        <v>16.13</v>
      </c>
      <c r="H51" s="40">
        <f t="shared" si="17"/>
        <v>19.920000000000002</v>
      </c>
      <c r="I51" s="40">
        <f t="shared" si="17"/>
        <v>23.7</v>
      </c>
      <c r="J51" s="40">
        <f t="shared" si="17"/>
        <v>31.27</v>
      </c>
      <c r="K51" s="40">
        <f t="shared" si="17"/>
        <v>38.840000000000003</v>
      </c>
      <c r="L51" s="40">
        <f t="shared" si="17"/>
        <v>46.4</v>
      </c>
      <c r="M51" s="40">
        <f t="shared" si="17"/>
        <v>53.97</v>
      </c>
      <c r="N51" s="40">
        <f t="shared" si="17"/>
        <v>57.75</v>
      </c>
      <c r="O51" s="40">
        <f t="shared" si="17"/>
        <v>61.54</v>
      </c>
      <c r="P51" s="40">
        <f t="shared" si="18"/>
        <v>69.11</v>
      </c>
      <c r="Q51" s="40">
        <f t="shared" si="18"/>
        <v>76.67</v>
      </c>
      <c r="R51" s="40">
        <f t="shared" si="18"/>
        <v>84.24</v>
      </c>
      <c r="S51" s="40">
        <f t="shared" si="18"/>
        <v>95.59</v>
      </c>
      <c r="T51" s="40">
        <f t="shared" si="18"/>
        <v>99.38</v>
      </c>
      <c r="U51" s="40">
        <f t="shared" si="18"/>
        <v>106.94</v>
      </c>
      <c r="V51" s="40">
        <f t="shared" si="18"/>
        <v>114.51</v>
      </c>
    </row>
    <row r="52" spans="1:22">
      <c r="A52" s="95">
        <f t="shared" si="5"/>
        <v>63</v>
      </c>
      <c r="B52" s="57">
        <f t="shared" si="14"/>
        <v>39.590000000000003</v>
      </c>
      <c r="C52" s="58" t="str">
        <f t="shared" si="10"/>
        <v/>
      </c>
      <c r="D52" s="58">
        <f t="shared" si="11"/>
        <v>2.38</v>
      </c>
      <c r="E52" s="94">
        <f>IF(OR($B52="", VLOOKUP(Plan,Table,4,FALSE)={"CHILD","CH0611","CHILDG"}), "",52)</f>
        <v>52</v>
      </c>
      <c r="F52" s="40">
        <f t="shared" si="17"/>
        <v>9.07</v>
      </c>
      <c r="G52" s="40">
        <f t="shared" si="17"/>
        <v>17.14</v>
      </c>
      <c r="H52" s="40">
        <f t="shared" si="17"/>
        <v>21.18</v>
      </c>
      <c r="I52" s="40">
        <f t="shared" si="17"/>
        <v>25.21</v>
      </c>
      <c r="J52" s="40">
        <f t="shared" si="17"/>
        <v>33.28</v>
      </c>
      <c r="K52" s="40">
        <f t="shared" si="17"/>
        <v>41.36</v>
      </c>
      <c r="L52" s="40">
        <f t="shared" si="17"/>
        <v>49.43</v>
      </c>
      <c r="M52" s="40">
        <f t="shared" si="17"/>
        <v>57.5</v>
      </c>
      <c r="N52" s="40">
        <f t="shared" si="17"/>
        <v>61.53</v>
      </c>
      <c r="O52" s="40">
        <f t="shared" si="17"/>
        <v>65.569999999999993</v>
      </c>
      <c r="P52" s="40">
        <f t="shared" si="18"/>
        <v>73.64</v>
      </c>
      <c r="Q52" s="40">
        <f t="shared" si="18"/>
        <v>81.709999999999994</v>
      </c>
      <c r="R52" s="40">
        <f t="shared" si="18"/>
        <v>89.78</v>
      </c>
      <c r="S52" s="40">
        <f t="shared" si="18"/>
        <v>101.89</v>
      </c>
      <c r="T52" s="40">
        <f t="shared" si="18"/>
        <v>105.93</v>
      </c>
      <c r="U52" s="40">
        <f t="shared" si="18"/>
        <v>114</v>
      </c>
      <c r="V52" s="40">
        <f t="shared" si="18"/>
        <v>122.07</v>
      </c>
    </row>
    <row r="53" spans="1:22">
      <c r="A53" s="95">
        <f t="shared" si="5"/>
        <v>64</v>
      </c>
      <c r="B53" s="57">
        <f t="shared" si="14"/>
        <v>42.26</v>
      </c>
      <c r="C53" s="58" t="str">
        <f t="shared" ref="C53:C59" si="19">IF(OR($C$3&lt;&gt;"Yes",$B53="", $A53&lt;18, $A53&gt;55, ISNA(VLOOKUP(Plan, Table, 2,FALSE))), "",VLOOKUP($A53, WaiverOfPremiumRate, MATCH(VLOOKUP(Plan, Table, 2,FALSE),WOPRatekey, FALSE)+1, FALSE))</f>
        <v/>
      </c>
      <c r="D53" s="58">
        <f t="shared" ref="D53:D59" si="20">IF(OR($C$4&lt;&gt;"Yes",$B53="", $A53&lt;18, $A53&gt;65, ISNA(VLOOKUP(Plan, Table, 3,FALSE))), "", VLOOKUP($A53, QualityofLifeRiderRate, MATCH(VLOOKUP(Plan, Table, 3,FALSE),RiderRatekey, FALSE)+1, FALSE))</f>
        <v>2.56</v>
      </c>
      <c r="E53" s="94">
        <f>IF(OR($B53="", VLOOKUP(Plan,Table,4,FALSE)={"CHILD","CH0611","CHILDG"}), "",52)</f>
        <v>52</v>
      </c>
      <c r="F53" s="40">
        <f t="shared" si="17"/>
        <v>9.6199999999999992</v>
      </c>
      <c r="G53" s="40">
        <f t="shared" si="17"/>
        <v>18.239999999999998</v>
      </c>
      <c r="H53" s="40">
        <f t="shared" si="17"/>
        <v>22.55</v>
      </c>
      <c r="I53" s="40">
        <f t="shared" si="17"/>
        <v>26.86</v>
      </c>
      <c r="J53" s="40">
        <f t="shared" si="17"/>
        <v>35.479999999999997</v>
      </c>
      <c r="K53" s="40">
        <f t="shared" si="17"/>
        <v>44.1</v>
      </c>
      <c r="L53" s="40">
        <f t="shared" si="17"/>
        <v>52.72</v>
      </c>
      <c r="M53" s="40">
        <f t="shared" si="17"/>
        <v>61.33</v>
      </c>
      <c r="N53" s="40">
        <f t="shared" si="17"/>
        <v>65.64</v>
      </c>
      <c r="O53" s="40">
        <f t="shared" si="17"/>
        <v>69.95</v>
      </c>
      <c r="P53" s="40">
        <f t="shared" si="18"/>
        <v>78.569999999999993</v>
      </c>
      <c r="Q53" s="40">
        <f t="shared" si="18"/>
        <v>87.19</v>
      </c>
      <c r="R53" s="40">
        <f t="shared" si="18"/>
        <v>95.81</v>
      </c>
      <c r="S53" s="40">
        <f t="shared" si="18"/>
        <v>108.74</v>
      </c>
      <c r="T53" s="40">
        <f t="shared" si="18"/>
        <v>113.05</v>
      </c>
      <c r="U53" s="40">
        <f t="shared" si="18"/>
        <v>121.67</v>
      </c>
      <c r="V53" s="40">
        <f t="shared" si="18"/>
        <v>130.29</v>
      </c>
    </row>
    <row r="54" spans="1:22">
      <c r="A54" s="95">
        <f t="shared" si="5"/>
        <v>65</v>
      </c>
      <c r="B54" s="57">
        <f t="shared" si="14"/>
        <v>45.27</v>
      </c>
      <c r="C54" s="58" t="str">
        <f t="shared" si="19"/>
        <v/>
      </c>
      <c r="D54" s="58">
        <f t="shared" si="20"/>
        <v>2.73</v>
      </c>
      <c r="E54" s="94">
        <f>IF(OR($B54="", VLOOKUP(Plan,Table,4,FALSE)={"CHILD","CH0611","CHILDG"}), "",52)</f>
        <v>52</v>
      </c>
      <c r="F54" s="40">
        <f t="shared" si="17"/>
        <v>10.23</v>
      </c>
      <c r="G54" s="40">
        <f t="shared" si="17"/>
        <v>19.46</v>
      </c>
      <c r="H54" s="40">
        <f t="shared" si="17"/>
        <v>24.08</v>
      </c>
      <c r="I54" s="40">
        <f t="shared" si="17"/>
        <v>28.69</v>
      </c>
      <c r="J54" s="40">
        <f t="shared" si="17"/>
        <v>37.92</v>
      </c>
      <c r="K54" s="40">
        <f t="shared" si="17"/>
        <v>47.15</v>
      </c>
      <c r="L54" s="40">
        <f t="shared" si="17"/>
        <v>56.38</v>
      </c>
      <c r="M54" s="40">
        <f t="shared" si="17"/>
        <v>65.62</v>
      </c>
      <c r="N54" s="40">
        <f t="shared" si="17"/>
        <v>70.23</v>
      </c>
      <c r="O54" s="40">
        <f t="shared" si="17"/>
        <v>74.849999999999994</v>
      </c>
      <c r="P54" s="40">
        <f t="shared" si="18"/>
        <v>84.08</v>
      </c>
      <c r="Q54" s="40">
        <f t="shared" si="18"/>
        <v>93.31</v>
      </c>
      <c r="R54" s="40">
        <f t="shared" si="18"/>
        <v>102.54</v>
      </c>
      <c r="S54" s="40">
        <f t="shared" si="18"/>
        <v>116.38</v>
      </c>
      <c r="T54" s="40">
        <f t="shared" si="18"/>
        <v>121</v>
      </c>
      <c r="U54" s="40">
        <f t="shared" si="18"/>
        <v>130.22999999999999</v>
      </c>
      <c r="V54" s="40">
        <f t="shared" si="18"/>
        <v>139.46</v>
      </c>
    </row>
    <row r="55" spans="1:22">
      <c r="A55" s="95">
        <f t="shared" ref="A55:A59" si="21">A54+1</f>
        <v>66</v>
      </c>
      <c r="B55" s="57">
        <f t="shared" si="14"/>
        <v>48.71</v>
      </c>
      <c r="C55" s="58" t="str">
        <f t="shared" si="19"/>
        <v/>
      </c>
      <c r="D55" s="58" t="str">
        <f t="shared" si="20"/>
        <v/>
      </c>
      <c r="E55" s="94">
        <f>IF(OR($B55="", VLOOKUP(Plan,Table,4,FALSE)={"CHILD","CH0611","CHILDG"}), "",52)</f>
        <v>52</v>
      </c>
      <c r="F55" s="40">
        <f t="shared" si="17"/>
        <v>10.37</v>
      </c>
      <c r="G55" s="40">
        <f t="shared" si="17"/>
        <v>19.73</v>
      </c>
      <c r="H55" s="40">
        <f t="shared" si="17"/>
        <v>24.42</v>
      </c>
      <c r="I55" s="40">
        <f t="shared" si="17"/>
        <v>29.1</v>
      </c>
      <c r="J55" s="40">
        <f t="shared" si="17"/>
        <v>38.47</v>
      </c>
      <c r="K55" s="40">
        <f t="shared" si="17"/>
        <v>47.84</v>
      </c>
      <c r="L55" s="40">
        <f t="shared" si="17"/>
        <v>57.2</v>
      </c>
      <c r="M55" s="40">
        <f t="shared" si="17"/>
        <v>66.569999999999993</v>
      </c>
      <c r="N55" s="40">
        <f t="shared" si="17"/>
        <v>71.25</v>
      </c>
      <c r="O55" s="40">
        <f t="shared" si="17"/>
        <v>75.94</v>
      </c>
      <c r="P55" s="40">
        <f t="shared" si="18"/>
        <v>85.31</v>
      </c>
      <c r="Q55" s="40">
        <f t="shared" si="18"/>
        <v>94.67</v>
      </c>
      <c r="R55" s="40">
        <f t="shared" si="18"/>
        <v>104.04</v>
      </c>
      <c r="S55" s="40">
        <f t="shared" si="18"/>
        <v>118.09</v>
      </c>
      <c r="T55" s="40">
        <f t="shared" si="18"/>
        <v>122.78</v>
      </c>
      <c r="U55" s="40">
        <f t="shared" si="18"/>
        <v>132.13999999999999</v>
      </c>
      <c r="V55" s="40">
        <f t="shared" si="18"/>
        <v>141.51</v>
      </c>
    </row>
    <row r="56" spans="1:22">
      <c r="A56" s="95">
        <f t="shared" si="21"/>
        <v>67</v>
      </c>
      <c r="B56" s="57">
        <f t="shared" si="14"/>
        <v>52.7</v>
      </c>
      <c r="C56" s="58" t="str">
        <f t="shared" si="19"/>
        <v/>
      </c>
      <c r="D56" s="58" t="str">
        <f t="shared" si="20"/>
        <v/>
      </c>
      <c r="E56" s="94">
        <f>IF(OR($B56="", VLOOKUP(Plan,Table,4,FALSE)={"CHILD","CH0611","CHILDG"}), "",52)</f>
        <v>52</v>
      </c>
      <c r="F56" s="40">
        <f t="shared" si="17"/>
        <v>11.13</v>
      </c>
      <c r="G56" s="40">
        <f t="shared" si="17"/>
        <v>21.27</v>
      </c>
      <c r="H56" s="40">
        <f t="shared" si="17"/>
        <v>26.34</v>
      </c>
      <c r="I56" s="40">
        <f t="shared" si="17"/>
        <v>31.4</v>
      </c>
      <c r="J56" s="40">
        <f t="shared" si="17"/>
        <v>41.54</v>
      </c>
      <c r="K56" s="40">
        <f t="shared" si="17"/>
        <v>51.67</v>
      </c>
      <c r="L56" s="40">
        <f t="shared" si="17"/>
        <v>61.81</v>
      </c>
      <c r="M56" s="40">
        <f t="shared" si="17"/>
        <v>71.94</v>
      </c>
      <c r="N56" s="40">
        <f t="shared" si="17"/>
        <v>77.010000000000005</v>
      </c>
      <c r="O56" s="40">
        <f t="shared" si="17"/>
        <v>82.08</v>
      </c>
      <c r="P56" s="40">
        <f t="shared" si="18"/>
        <v>92.21</v>
      </c>
      <c r="Q56" s="40">
        <f t="shared" si="18"/>
        <v>102.35</v>
      </c>
      <c r="R56" s="40">
        <f t="shared" si="18"/>
        <v>112.48</v>
      </c>
      <c r="S56" s="40">
        <f t="shared" si="18"/>
        <v>127.68</v>
      </c>
      <c r="T56" s="40">
        <f t="shared" si="18"/>
        <v>132.75</v>
      </c>
      <c r="U56" s="40">
        <f t="shared" si="18"/>
        <v>142.88</v>
      </c>
      <c r="V56" s="40">
        <f t="shared" si="18"/>
        <v>153.02000000000001</v>
      </c>
    </row>
    <row r="57" spans="1:22">
      <c r="A57" s="95">
        <f t="shared" si="21"/>
        <v>68</v>
      </c>
      <c r="B57" s="57">
        <f t="shared" si="14"/>
        <v>57.24</v>
      </c>
      <c r="C57" s="58" t="str">
        <f t="shared" si="19"/>
        <v/>
      </c>
      <c r="D57" s="58" t="str">
        <f t="shared" si="20"/>
        <v/>
      </c>
      <c r="E57" s="94">
        <f>IF(OR($B57="", VLOOKUP(Plan,Table,4,FALSE)={"CHILD","CH0611","CHILDG"}), "",52)</f>
        <v>52</v>
      </c>
      <c r="F57" s="40">
        <f t="shared" si="17"/>
        <v>12.01</v>
      </c>
      <c r="G57" s="40">
        <f t="shared" si="17"/>
        <v>23.02</v>
      </c>
      <c r="H57" s="40">
        <f t="shared" si="17"/>
        <v>28.52</v>
      </c>
      <c r="I57" s="40">
        <f t="shared" si="17"/>
        <v>34.020000000000003</v>
      </c>
      <c r="J57" s="40">
        <f t="shared" si="17"/>
        <v>45.03</v>
      </c>
      <c r="K57" s="40">
        <f t="shared" si="17"/>
        <v>56.04</v>
      </c>
      <c r="L57" s="40">
        <f t="shared" si="17"/>
        <v>67.05</v>
      </c>
      <c r="M57" s="40">
        <f t="shared" si="17"/>
        <v>78.05</v>
      </c>
      <c r="N57" s="40">
        <f t="shared" si="17"/>
        <v>83.56</v>
      </c>
      <c r="O57" s="40">
        <f t="shared" si="17"/>
        <v>89.06</v>
      </c>
      <c r="P57" s="40">
        <f t="shared" si="18"/>
        <v>100.07</v>
      </c>
      <c r="Q57" s="40">
        <f t="shared" si="18"/>
        <v>111.08</v>
      </c>
      <c r="R57" s="40">
        <f t="shared" si="18"/>
        <v>122.08</v>
      </c>
      <c r="S57" s="40">
        <f t="shared" si="18"/>
        <v>138.6</v>
      </c>
      <c r="T57" s="40">
        <f t="shared" si="18"/>
        <v>144.1</v>
      </c>
      <c r="U57" s="40">
        <f t="shared" si="18"/>
        <v>155.11000000000001</v>
      </c>
      <c r="V57" s="40">
        <f t="shared" si="18"/>
        <v>166.12</v>
      </c>
    </row>
    <row r="58" spans="1:22">
      <c r="A58" s="95">
        <f t="shared" si="21"/>
        <v>69</v>
      </c>
      <c r="B58" s="57">
        <f t="shared" si="14"/>
        <v>62.39</v>
      </c>
      <c r="C58" s="58" t="str">
        <f t="shared" si="19"/>
        <v/>
      </c>
      <c r="D58" s="58" t="str">
        <f t="shared" si="20"/>
        <v/>
      </c>
      <c r="E58" s="94">
        <f>IF(OR($B58="", VLOOKUP(Plan,Table,4,FALSE)={"CHILD","CH0611","CHILDG"}), "",52)</f>
        <v>52</v>
      </c>
      <c r="F58" s="40">
        <f t="shared" si="17"/>
        <v>13</v>
      </c>
      <c r="G58" s="40">
        <f t="shared" si="17"/>
        <v>25</v>
      </c>
      <c r="H58" s="40">
        <f t="shared" si="17"/>
        <v>31</v>
      </c>
      <c r="I58" s="40">
        <f t="shared" si="17"/>
        <v>36.99</v>
      </c>
      <c r="J58" s="40">
        <f t="shared" si="17"/>
        <v>48.99</v>
      </c>
      <c r="K58" s="40">
        <f t="shared" si="17"/>
        <v>60.99</v>
      </c>
      <c r="L58" s="40">
        <f t="shared" si="17"/>
        <v>72.989999999999995</v>
      </c>
      <c r="M58" s="40">
        <f t="shared" si="17"/>
        <v>84.99</v>
      </c>
      <c r="N58" s="40">
        <f t="shared" si="17"/>
        <v>90.99</v>
      </c>
      <c r="O58" s="40">
        <f t="shared" si="17"/>
        <v>96.98</v>
      </c>
      <c r="P58" s="40">
        <f t="shared" si="18"/>
        <v>108.98</v>
      </c>
      <c r="Q58" s="40">
        <f t="shared" si="18"/>
        <v>120.98</v>
      </c>
      <c r="R58" s="40">
        <f t="shared" si="18"/>
        <v>132.97999999999999</v>
      </c>
      <c r="S58" s="40">
        <f t="shared" si="18"/>
        <v>150.97999999999999</v>
      </c>
      <c r="T58" s="40">
        <f t="shared" si="18"/>
        <v>156.97999999999999</v>
      </c>
      <c r="U58" s="40">
        <f t="shared" si="18"/>
        <v>168.97</v>
      </c>
      <c r="V58" s="40">
        <f t="shared" si="18"/>
        <v>180.97</v>
      </c>
    </row>
    <row r="59" spans="1:22">
      <c r="A59" s="95">
        <f t="shared" si="21"/>
        <v>70</v>
      </c>
      <c r="B59" s="57">
        <f t="shared" si="14"/>
        <v>68.2</v>
      </c>
      <c r="C59" s="58" t="str">
        <f t="shared" si="19"/>
        <v/>
      </c>
      <c r="D59" s="58" t="str">
        <f t="shared" si="20"/>
        <v/>
      </c>
      <c r="E59" s="94">
        <f>IF(OR($B59="", VLOOKUP(Plan,Table,4,FALSE)={"CHILD","CH0611","CHILDG"}), "",52)</f>
        <v>52</v>
      </c>
      <c r="F59" s="40">
        <f t="shared" si="17"/>
        <v>14.12</v>
      </c>
      <c r="G59" s="40">
        <f t="shared" si="17"/>
        <v>27.23</v>
      </c>
      <c r="H59" s="40">
        <f t="shared" si="17"/>
        <v>33.79</v>
      </c>
      <c r="I59" s="40">
        <f t="shared" si="17"/>
        <v>40.35</v>
      </c>
      <c r="J59" s="40">
        <f t="shared" si="17"/>
        <v>53.46</v>
      </c>
      <c r="K59" s="40">
        <f t="shared" si="17"/>
        <v>66.58</v>
      </c>
      <c r="L59" s="40">
        <f t="shared" si="17"/>
        <v>79.69</v>
      </c>
      <c r="M59" s="40">
        <f t="shared" si="17"/>
        <v>92.81</v>
      </c>
      <c r="N59" s="40">
        <f t="shared" si="17"/>
        <v>99.37</v>
      </c>
      <c r="O59" s="40">
        <f t="shared" si="17"/>
        <v>105.92</v>
      </c>
      <c r="P59" s="40">
        <f t="shared" si="18"/>
        <v>119.04</v>
      </c>
      <c r="Q59" s="40">
        <f t="shared" si="18"/>
        <v>132.15</v>
      </c>
      <c r="R59" s="40">
        <f t="shared" si="18"/>
        <v>145.27000000000001</v>
      </c>
      <c r="S59" s="40">
        <f t="shared" si="18"/>
        <v>164.94</v>
      </c>
      <c r="T59" s="40">
        <f t="shared" si="18"/>
        <v>171.5</v>
      </c>
      <c r="U59" s="40">
        <f t="shared" si="18"/>
        <v>184.62</v>
      </c>
      <c r="V59" s="40">
        <f t="shared" si="18"/>
        <v>197.73</v>
      </c>
    </row>
    <row r="60" spans="1:22" s="30" customFormat="1" ht="11.25" customHeight="1"/>
    <row r="61" spans="1:22" hidden="1"/>
    <row r="62" spans="1:22" hidden="1"/>
    <row r="63" spans="1:22" hidden="1"/>
    <row r="64" spans="1:22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</sheetData>
  <mergeCells count="43">
    <mergeCell ref="E5:E6"/>
    <mergeCell ref="C5:C6"/>
    <mergeCell ref="D5:D6"/>
    <mergeCell ref="A2:B2"/>
    <mergeCell ref="A1:B1"/>
    <mergeCell ref="A3:B3"/>
    <mergeCell ref="A4:B4"/>
    <mergeCell ref="A5:A6"/>
    <mergeCell ref="B5:B6"/>
    <mergeCell ref="Q3:Q4"/>
    <mergeCell ref="R3:R4"/>
    <mergeCell ref="F1:F2"/>
    <mergeCell ref="F3:F4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L3:L4"/>
    <mergeCell ref="M3:M4"/>
    <mergeCell ref="N3:N4"/>
    <mergeCell ref="O3:O4"/>
    <mergeCell ref="P3:P4"/>
    <mergeCell ref="G3:G4"/>
    <mergeCell ref="H3:H4"/>
    <mergeCell ref="I3:I4"/>
    <mergeCell ref="J3:J4"/>
    <mergeCell ref="K3:K4"/>
    <mergeCell ref="S3:S4"/>
    <mergeCell ref="T3:T4"/>
    <mergeCell ref="U3:U4"/>
    <mergeCell ref="V3:V4"/>
    <mergeCell ref="S1:S2"/>
    <mergeCell ref="T1:T2"/>
    <mergeCell ref="U1:U2"/>
    <mergeCell ref="V1:V2"/>
  </mergeCells>
  <dataValidations count="2">
    <dataValidation type="list" allowBlank="1" showInputMessage="1" showErrorMessage="1" sqref="C2">
      <formula1>"1,2,4,9,12,18,24,26,52"</formula1>
    </dataValidation>
    <dataValidation type="list" allowBlank="1" showInputMessage="1" showErrorMessage="1" sqref="C3:C4">
      <formula1>"Yes, No"</formula1>
    </dataValidation>
  </dataValidations>
  <pageMargins left="0.7" right="0.7" top="0.75" bottom="0.75" header="0.3" footer="0.3"/>
  <pageSetup orientation="portrait"/>
  <headerFooter>
    <oddFooter>&amp;L&amp;"museo sans for dell,Bold"&amp;KAAAAAA                 Dell - Critical Handling - Confidential - Privileged</oddFooter>
    <evenFooter>&amp;L&amp;"museo sans for dell,Bold"&amp;KAAAAAA                 Dell - Critical Handling - Confidential - Privileged</evenFooter>
    <firstFooter>&amp;L&amp;"museo sans for dell,Bold"&amp;KAAAAAA                 Dell - Critical Handling - Confidential - Privileged</first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Rates!$A$2:$A$43</xm:f>
          </x14:formula1>
          <xm:sqref>C1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W99"/>
  <sheetViews>
    <sheetView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D2" sqref="D2"/>
    </sheetView>
  </sheetViews>
  <sheetFormatPr baseColWidth="10" defaultColWidth="0" defaultRowHeight="14" zeroHeight="1" x14ac:dyDescent="0"/>
  <cols>
    <col min="1" max="1" width="7.33203125" style="1" customWidth="1"/>
    <col min="2" max="2" width="11.33203125" style="1" customWidth="1"/>
    <col min="3" max="3" width="10.83203125" style="1" customWidth="1"/>
    <col min="4" max="4" width="13.5" style="1" customWidth="1"/>
    <col min="5" max="5" width="10" style="1" customWidth="1"/>
    <col min="6" max="6" width="10.1640625" style="1" bestFit="1" customWidth="1"/>
    <col min="7" max="9" width="10" style="1" customWidth="1"/>
    <col min="10" max="13" width="11.1640625" style="1" bestFit="1" customWidth="1"/>
    <col min="14" max="14" width="11.1640625" style="13" bestFit="1" customWidth="1"/>
    <col min="15" max="22" width="10" style="1" customWidth="1"/>
    <col min="23" max="23" width="2.5" style="30" customWidth="1"/>
    <col min="24" max="16384" width="9.1640625" style="1" hidden="1"/>
  </cols>
  <sheetData>
    <row r="1" spans="1:23">
      <c r="A1" s="131" t="s">
        <v>8</v>
      </c>
      <c r="B1" s="131"/>
      <c r="C1" s="88" t="s">
        <v>18</v>
      </c>
      <c r="D1" s="88"/>
      <c r="E1" s="45"/>
      <c r="F1" s="134" t="s">
        <v>9</v>
      </c>
      <c r="G1" s="134" t="s">
        <v>9</v>
      </c>
      <c r="H1" s="134" t="s">
        <v>9</v>
      </c>
      <c r="I1" s="134" t="s">
        <v>9</v>
      </c>
      <c r="J1" s="134" t="s">
        <v>9</v>
      </c>
      <c r="K1" s="134" t="s">
        <v>9</v>
      </c>
      <c r="L1" s="134" t="s">
        <v>9</v>
      </c>
      <c r="M1" s="134" t="s">
        <v>9</v>
      </c>
      <c r="N1" s="134" t="s">
        <v>9</v>
      </c>
      <c r="O1" s="134" t="s">
        <v>9</v>
      </c>
      <c r="P1" s="134" t="s">
        <v>9</v>
      </c>
      <c r="Q1" s="134" t="s">
        <v>9</v>
      </c>
      <c r="R1" s="134" t="s">
        <v>9</v>
      </c>
      <c r="S1" s="134" t="s">
        <v>9</v>
      </c>
      <c r="T1" s="134" t="s">
        <v>9</v>
      </c>
      <c r="U1" s="134" t="s">
        <v>9</v>
      </c>
      <c r="V1" s="134" t="s">
        <v>9</v>
      </c>
    </row>
    <row r="2" spans="1:23">
      <c r="A2" s="131" t="s">
        <v>13</v>
      </c>
      <c r="B2" s="131"/>
      <c r="C2" s="88">
        <v>12</v>
      </c>
      <c r="D2" s="88"/>
      <c r="E2" s="45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</row>
    <row r="3" spans="1:23">
      <c r="A3" s="131" t="s">
        <v>27</v>
      </c>
      <c r="B3" s="131"/>
      <c r="C3" s="88" t="s">
        <v>22</v>
      </c>
      <c r="D3" s="87" t="str">
        <f>IF(AND($C$3="Yes", ISNA(VLOOKUP(Plan, Table, 2,FALSE))), "=&gt; Not Available", "")</f>
        <v/>
      </c>
      <c r="E3" s="45"/>
      <c r="F3" s="133">
        <f>IF(INDEX('Premium Levels'!$A$4:$I$20, COLUMN(A1), MATCH(mode, 'Premium Levels'!$A$2:$I$2,0))="","",INDEX('Premium Levels'!$A$4:$I$20, COLUMN(A1), MATCH(mode, 'Premium Levels'!$A$2:$I$2,0)))</f>
        <v>10</v>
      </c>
      <c r="G3" s="133">
        <f>IF(INDEX('Premium Levels'!$A$4:$I$20, COLUMN(B1), MATCH(mode, 'Premium Levels'!$A$2:$I$2,0))="","",INDEX('Premium Levels'!$A$4:$I$20, COLUMN(B1), MATCH(mode, 'Premium Levels'!$A$2:$I$2,0)))</f>
        <v>15</v>
      </c>
      <c r="H3" s="133">
        <f>IF(INDEX('Premium Levels'!$A$4:$I$20, COLUMN(C1), MATCH(mode, 'Premium Levels'!$A$2:$I$2,0))="","",INDEX('Premium Levels'!$A$4:$I$20, COLUMN(C1), MATCH(mode, 'Premium Levels'!$A$2:$I$2,0)))</f>
        <v>20</v>
      </c>
      <c r="I3" s="133">
        <f>IF(INDEX('Premium Levels'!$A$4:$I$20, COLUMN(D1), MATCH(mode, 'Premium Levels'!$A$2:$I$2,0))="","",INDEX('Premium Levels'!$A$4:$I$20, COLUMN(D1), MATCH(mode, 'Premium Levels'!$A$2:$I$2,0)))</f>
        <v>25</v>
      </c>
      <c r="J3" s="133">
        <f>IF(INDEX('Premium Levels'!$A$4:$I$20, COLUMN(E1), MATCH(mode, 'Premium Levels'!$A$2:$I$2,0))="","",INDEX('Premium Levels'!$A$4:$I$20, COLUMN(E1), MATCH(mode, 'Premium Levels'!$A$2:$I$2,0)))</f>
        <v>30</v>
      </c>
      <c r="K3" s="133">
        <f>IF(INDEX('Premium Levels'!$A$4:$I$20, COLUMN(F1), MATCH(mode, 'Premium Levels'!$A$2:$I$2,0))="","",INDEX('Premium Levels'!$A$4:$I$20, COLUMN(F1), MATCH(mode, 'Premium Levels'!$A$2:$I$2,0)))</f>
        <v>35</v>
      </c>
      <c r="L3" s="133">
        <f>IF(INDEX('Premium Levels'!$A$4:$I$20, COLUMN(G1), MATCH(mode, 'Premium Levels'!$A$2:$I$2,0))="","",INDEX('Premium Levels'!$A$4:$I$20, COLUMN(G1), MATCH(mode, 'Premium Levels'!$A$2:$I$2,0)))</f>
        <v>40</v>
      </c>
      <c r="M3" s="133">
        <f>IF(INDEX('Premium Levels'!$A$4:$I$20, COLUMN(H1), MATCH(mode, 'Premium Levels'!$A$2:$I$2,0))="","",INDEX('Premium Levels'!$A$4:$I$20, COLUMN(H1), MATCH(mode, 'Premium Levels'!$A$2:$I$2,0)))</f>
        <v>45</v>
      </c>
      <c r="N3" s="133">
        <f>IF(INDEX('Premium Levels'!$A$4:$I$20, COLUMN(I1), MATCH(mode, 'Premium Levels'!$A$2:$I$2,0))="","",INDEX('Premium Levels'!$A$4:$I$20, COLUMN(I1), MATCH(mode, 'Premium Levels'!$A$2:$I$2,0)))</f>
        <v>50</v>
      </c>
      <c r="O3" s="133" t="str">
        <f>IF(INDEX('Premium Levels'!$A$4:$I$20, COLUMN(J1), MATCH(mode, 'Premium Levels'!$A$2:$I$2,0))="","",INDEX('Premium Levels'!$A$4:$I$20, COLUMN(J1), MATCH(mode, 'Premium Levels'!$A$2:$I$2,0)))</f>
        <v/>
      </c>
      <c r="P3" s="133" t="str">
        <f>IF(INDEX('Premium Levels'!$A$4:$I$20, COLUMN(K1), MATCH(mode, 'Premium Levels'!$A$2:$I$2,0))="","",INDEX('Premium Levels'!$A$4:$I$20, COLUMN(K1), MATCH(mode, 'Premium Levels'!$A$2:$I$2,0)))</f>
        <v/>
      </c>
      <c r="Q3" s="133" t="str">
        <f>IF(INDEX('Premium Levels'!$A$4:$I$20, COLUMN(L1), MATCH(mode, 'Premium Levels'!$A$2:$I$2,0))="","",INDEX('Premium Levels'!$A$4:$I$20, COLUMN(L1), MATCH(mode, 'Premium Levels'!$A$2:$I$2,0)))</f>
        <v/>
      </c>
      <c r="R3" s="133" t="str">
        <f>IF(INDEX('Premium Levels'!$A$4:$I$20, COLUMN(M1), MATCH(mode, 'Premium Levels'!$A$2:$I$2,0))="","",INDEX('Premium Levels'!$A$4:$I$20, COLUMN(M1), MATCH(mode, 'Premium Levels'!$A$2:$I$2,0)))</f>
        <v/>
      </c>
      <c r="S3" s="133" t="str">
        <f>IF(INDEX('Premium Levels'!$A$4:$I$20, COLUMN(N1), MATCH(mode, 'Premium Levels'!$A$2:$I$2,0))="","",INDEX('Premium Levels'!$A$4:$I$20, COLUMN(N1), MATCH(mode, 'Premium Levels'!$A$2:$I$2,0)))</f>
        <v/>
      </c>
      <c r="T3" s="133" t="str">
        <f>IF(INDEX('Premium Levels'!$A$4:$I$20, COLUMN(O1), MATCH(mode, 'Premium Levels'!$A$2:$I$2,0))="","",INDEX('Premium Levels'!$A$4:$I$20, COLUMN(O1), MATCH(mode, 'Premium Levels'!$A$2:$I$2,0)))</f>
        <v/>
      </c>
      <c r="U3" s="133" t="str">
        <f>IF(INDEX('Premium Levels'!$A$4:$I$20, COLUMN(P1), MATCH(mode, 'Premium Levels'!$A$2:$I$2,0))="","",INDEX('Premium Levels'!$A$4:$I$20, COLUMN(P1), MATCH(mode, 'Premium Levels'!$A$2:$I$2,0)))</f>
        <v/>
      </c>
      <c r="V3" s="133" t="str">
        <f>IF(INDEX('Premium Levels'!$A$4:$I$20, COLUMN(Q1), MATCH(mode, 'Premium Levels'!$A$2:$I$2,0))="","",INDEX('Premium Levels'!$A$4:$I$20, COLUMN(Q1), MATCH(mode, 'Premium Levels'!$A$2:$I$2,0)))</f>
        <v/>
      </c>
    </row>
    <row r="4" spans="1:23">
      <c r="A4" s="131" t="s">
        <v>29</v>
      </c>
      <c r="B4" s="131"/>
      <c r="C4" s="88" t="s">
        <v>22</v>
      </c>
      <c r="D4" s="87" t="str">
        <f>IF(AND($C$4="Yes", ISNA(VLOOKUP(Plan, Table, 3,FALSE))), "=&gt; Not Available", "")</f>
        <v/>
      </c>
      <c r="E4" s="45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</row>
    <row r="5" spans="1:23" s="3" customFormat="1" ht="18.75" customHeight="1">
      <c r="A5" s="129" t="s">
        <v>0</v>
      </c>
      <c r="B5" s="129" t="s">
        <v>24</v>
      </c>
      <c r="C5" s="130" t="s">
        <v>26</v>
      </c>
      <c r="D5" s="130" t="s">
        <v>28</v>
      </c>
      <c r="E5" s="129" t="s">
        <v>1</v>
      </c>
      <c r="F5" s="2"/>
      <c r="G5" s="2"/>
      <c r="H5" s="2"/>
      <c r="I5" s="2"/>
      <c r="J5" s="2"/>
      <c r="K5" s="2"/>
      <c r="L5" s="2"/>
      <c r="M5" s="2"/>
      <c r="N5" s="12"/>
      <c r="O5" s="2"/>
      <c r="P5" s="2"/>
      <c r="Q5" s="2"/>
      <c r="R5" s="2"/>
      <c r="S5" s="2"/>
      <c r="T5" s="2"/>
      <c r="U5" s="2"/>
      <c r="V5" s="2"/>
      <c r="W5" s="43"/>
    </row>
    <row r="6" spans="1:23" s="3" customFormat="1" ht="16.5" customHeight="1">
      <c r="A6" s="129"/>
      <c r="B6" s="129"/>
      <c r="C6" s="130"/>
      <c r="D6" s="130"/>
      <c r="E6" s="129"/>
      <c r="F6" s="2"/>
      <c r="G6" s="2"/>
      <c r="H6" s="2"/>
      <c r="I6" s="2"/>
      <c r="J6" s="2"/>
      <c r="K6" s="2"/>
      <c r="L6" s="2"/>
      <c r="M6" s="2"/>
      <c r="N6" s="12"/>
      <c r="O6" s="2"/>
      <c r="P6" s="2"/>
      <c r="Q6" s="2"/>
      <c r="R6" s="2"/>
      <c r="S6" s="2"/>
      <c r="T6" s="2"/>
      <c r="U6" s="2"/>
      <c r="V6" s="2"/>
      <c r="W6" s="43"/>
    </row>
    <row r="7" spans="1:23">
      <c r="A7" s="46">
        <f>18</f>
        <v>18</v>
      </c>
      <c r="B7" s="57">
        <f t="shared" ref="B7:B38" si="0">IF(AND(MATCH(VLOOKUP(Plan,Table,4,FALSE),PremiumRatekey,FALSE)&lt;=3, $A7&lt;&gt;20),"", VLOOKUP($A7,PremiumRate,MATCH(VLOOKUP(Plan,Table,4,FALSE),PremiumRatekey,FALSE)+1,FALSE))</f>
        <v>3.39</v>
      </c>
      <c r="C7" s="57" t="str">
        <f t="shared" ref="C7:C20" si="1">IF(OR($C$3&lt;&gt;"Yes",$B7="", $A7&lt;18, $A7&gt;55, ISNA(VLOOKUP(Plan, Table, 2,FALSE))), "",VLOOKUP($A7, WaiverOfPremiumRate, MATCH(VLOOKUP(Plan, Table, 2,FALSE),WOPRatekey, FALSE)+1, FALSE))</f>
        <v/>
      </c>
      <c r="D7" s="57" t="str">
        <f t="shared" ref="D7:D20" si="2">IF(OR($C$4&lt;&gt;"Yes",$B7="", $A7&lt;18, $A7&gt;65, ISNA(VLOOKUP(Plan, Table, 3,FALSE))), "", VLOOKUP($A7, QualityofLifeRiderRate, MATCH(VLOOKUP(Plan, Table, 3,FALSE),RiderRatekey, FALSE)+1, FALSE))</f>
        <v/>
      </c>
      <c r="E7" s="94">
        <f>IF(OR($B7="", VLOOKUP(Plan,Table,4,FALSE)={"CHILD","CH0611","CHILDG"}), "",52)</f>
        <v>52</v>
      </c>
      <c r="F7" s="16">
        <f t="shared" ref="F7:O8" si="3">IF(OR($B7="", F$3=""),"",IF(ROUND(((F$3*mode-IF($E7&lt;&gt;"",$E7,0))*1000)/$B7,0)&lt;0, "Check Premium", ROUND(((F$3*mode-IF($E7&lt;&gt;"",$E7,0))*1000)/($B7+IF($C7&lt;&gt;"", $C7, 0)+IF($D7&lt;&gt;"", $D7, 0)),0)))</f>
        <v>20059</v>
      </c>
      <c r="G7" s="16">
        <f t="shared" si="3"/>
        <v>37758</v>
      </c>
      <c r="H7" s="16">
        <f t="shared" si="3"/>
        <v>55457</v>
      </c>
      <c r="I7" s="16">
        <f t="shared" si="3"/>
        <v>73156</v>
      </c>
      <c r="J7" s="16">
        <f t="shared" si="3"/>
        <v>90855</v>
      </c>
      <c r="K7" s="16">
        <f t="shared" si="3"/>
        <v>108555</v>
      </c>
      <c r="L7" s="16">
        <f t="shared" si="3"/>
        <v>126254</v>
      </c>
      <c r="M7" s="16">
        <f t="shared" si="3"/>
        <v>143953</v>
      </c>
      <c r="N7" s="16">
        <f t="shared" si="3"/>
        <v>161652</v>
      </c>
      <c r="O7" s="16" t="str">
        <f t="shared" si="3"/>
        <v/>
      </c>
      <c r="P7" s="16" t="str">
        <f t="shared" ref="P7:V8" si="4">IF(OR($B7="", P$3=""),"",IF(ROUND(((P$3*mode-IF($E7&lt;&gt;"",$E7,0))*1000)/$B7,0)&lt;0, "Check Premium", ROUND(((P$3*mode-IF($E7&lt;&gt;"",$E7,0))*1000)/($B7+IF($C7&lt;&gt;"", $C7, 0)+IF($D7&lt;&gt;"", $D7, 0)),0)))</f>
        <v/>
      </c>
      <c r="Q7" s="16" t="str">
        <f t="shared" si="4"/>
        <v/>
      </c>
      <c r="R7" s="16" t="str">
        <f t="shared" si="4"/>
        <v/>
      </c>
      <c r="S7" s="16" t="str">
        <f t="shared" si="4"/>
        <v/>
      </c>
      <c r="T7" s="16" t="str">
        <f t="shared" si="4"/>
        <v/>
      </c>
      <c r="U7" s="16" t="str">
        <f t="shared" si="4"/>
        <v/>
      </c>
      <c r="V7" s="16" t="str">
        <f t="shared" si="4"/>
        <v/>
      </c>
      <c r="W7" s="65"/>
    </row>
    <row r="8" spans="1:23">
      <c r="A8" s="46">
        <f t="shared" ref="A8:A54" si="5">A7+1</f>
        <v>19</v>
      </c>
      <c r="B8" s="57">
        <f t="shared" si="0"/>
        <v>3.39</v>
      </c>
      <c r="C8" s="57" t="str">
        <f t="shared" si="1"/>
        <v/>
      </c>
      <c r="D8" s="57" t="str">
        <f t="shared" si="2"/>
        <v/>
      </c>
      <c r="E8" s="94">
        <f>IF(OR($B8="", VLOOKUP(Plan,Table,4,FALSE)={"CHILD","CH0611","CHILDG"}), "",52)</f>
        <v>52</v>
      </c>
      <c r="F8" s="16">
        <f t="shared" si="3"/>
        <v>20059</v>
      </c>
      <c r="G8" s="16">
        <f t="shared" si="3"/>
        <v>37758</v>
      </c>
      <c r="H8" s="16">
        <f t="shared" si="3"/>
        <v>55457</v>
      </c>
      <c r="I8" s="16">
        <f t="shared" si="3"/>
        <v>73156</v>
      </c>
      <c r="J8" s="16">
        <f t="shared" si="3"/>
        <v>90855</v>
      </c>
      <c r="K8" s="16">
        <f t="shared" si="3"/>
        <v>108555</v>
      </c>
      <c r="L8" s="16">
        <f t="shared" si="3"/>
        <v>126254</v>
      </c>
      <c r="M8" s="16">
        <f t="shared" si="3"/>
        <v>143953</v>
      </c>
      <c r="N8" s="16">
        <f t="shared" si="3"/>
        <v>161652</v>
      </c>
      <c r="O8" s="16" t="str">
        <f t="shared" si="3"/>
        <v/>
      </c>
      <c r="P8" s="16" t="str">
        <f t="shared" si="4"/>
        <v/>
      </c>
      <c r="Q8" s="16" t="str">
        <f t="shared" si="4"/>
        <v/>
      </c>
      <c r="R8" s="16" t="str">
        <f t="shared" si="4"/>
        <v/>
      </c>
      <c r="S8" s="16" t="str">
        <f t="shared" si="4"/>
        <v/>
      </c>
      <c r="T8" s="16" t="str">
        <f t="shared" si="4"/>
        <v/>
      </c>
      <c r="U8" s="16" t="str">
        <f t="shared" si="4"/>
        <v/>
      </c>
      <c r="V8" s="16" t="str">
        <f t="shared" si="4"/>
        <v/>
      </c>
      <c r="W8" s="65"/>
    </row>
    <row r="9" spans="1:23">
      <c r="A9" s="46">
        <f t="shared" si="5"/>
        <v>20</v>
      </c>
      <c r="B9" s="57">
        <f t="shared" si="0"/>
        <v>3.39</v>
      </c>
      <c r="C9" s="57" t="str">
        <f t="shared" si="1"/>
        <v/>
      </c>
      <c r="D9" s="57" t="str">
        <f t="shared" si="2"/>
        <v/>
      </c>
      <c r="E9" s="94">
        <f>IF(OR($B9="", VLOOKUP(Plan,Table,4,FALSE)={"CHILD","CH0611","CHILDG"}), "",52)</f>
        <v>52</v>
      </c>
      <c r="F9" s="16">
        <f t="shared" ref="F9:O18" si="6">IF(OR($B9="", F$3=""),"",IF(ROUND(((F$3*mode-IF($E9&lt;&gt;"",$E9,0))*1000)/$B9,0)&lt;0, "Check Premium", ROUND(((F$3*mode-IF($E9&lt;&gt;"",$E9,0))*1000)/($B9+IF($C9&lt;&gt;"", $C9, 0)+IF($D9&lt;&gt;"", $D9, 0)),0)))</f>
        <v>20059</v>
      </c>
      <c r="G9" s="16">
        <f t="shared" si="6"/>
        <v>37758</v>
      </c>
      <c r="H9" s="16">
        <f t="shared" si="6"/>
        <v>55457</v>
      </c>
      <c r="I9" s="16">
        <f t="shared" si="6"/>
        <v>73156</v>
      </c>
      <c r="J9" s="16">
        <f t="shared" si="6"/>
        <v>90855</v>
      </c>
      <c r="K9" s="16">
        <f t="shared" si="6"/>
        <v>108555</v>
      </c>
      <c r="L9" s="16">
        <f t="shared" si="6"/>
        <v>126254</v>
      </c>
      <c r="M9" s="16">
        <f t="shared" si="6"/>
        <v>143953</v>
      </c>
      <c r="N9" s="16">
        <f t="shared" si="6"/>
        <v>161652</v>
      </c>
      <c r="O9" s="16" t="str">
        <f t="shared" si="6"/>
        <v/>
      </c>
      <c r="P9" s="16" t="str">
        <f t="shared" ref="P9:V18" si="7">IF(OR($B9="", P$3=""),"",IF(ROUND(((P$3*mode-IF($E9&lt;&gt;"",$E9,0))*1000)/$B9,0)&lt;0, "Check Premium", ROUND(((P$3*mode-IF($E9&lt;&gt;"",$E9,0))*1000)/($B9+IF($C9&lt;&gt;"", $C9, 0)+IF($D9&lt;&gt;"", $D9, 0)),0)))</f>
        <v/>
      </c>
      <c r="Q9" s="16" t="str">
        <f t="shared" si="7"/>
        <v/>
      </c>
      <c r="R9" s="16" t="str">
        <f t="shared" si="7"/>
        <v/>
      </c>
      <c r="S9" s="16" t="str">
        <f t="shared" si="7"/>
        <v/>
      </c>
      <c r="T9" s="16" t="str">
        <f t="shared" si="7"/>
        <v/>
      </c>
      <c r="U9" s="16" t="str">
        <f t="shared" si="7"/>
        <v/>
      </c>
      <c r="V9" s="16" t="str">
        <f t="shared" si="7"/>
        <v/>
      </c>
      <c r="W9" s="65"/>
    </row>
    <row r="10" spans="1:23">
      <c r="A10" s="46">
        <f t="shared" si="5"/>
        <v>21</v>
      </c>
      <c r="B10" s="57">
        <f t="shared" si="0"/>
        <v>3.39</v>
      </c>
      <c r="C10" s="57" t="str">
        <f t="shared" si="1"/>
        <v/>
      </c>
      <c r="D10" s="57" t="str">
        <f t="shared" si="2"/>
        <v/>
      </c>
      <c r="E10" s="94">
        <f>IF(OR($B10="", VLOOKUP(Plan,Table,4,FALSE)={"CHILD","CH0611","CHILDG"}), "",52)</f>
        <v>52</v>
      </c>
      <c r="F10" s="16">
        <f t="shared" si="6"/>
        <v>20059</v>
      </c>
      <c r="G10" s="16">
        <f t="shared" si="6"/>
        <v>37758</v>
      </c>
      <c r="H10" s="16">
        <f t="shared" si="6"/>
        <v>55457</v>
      </c>
      <c r="I10" s="16">
        <f t="shared" si="6"/>
        <v>73156</v>
      </c>
      <c r="J10" s="16">
        <f t="shared" si="6"/>
        <v>90855</v>
      </c>
      <c r="K10" s="16">
        <f t="shared" si="6"/>
        <v>108555</v>
      </c>
      <c r="L10" s="16">
        <f t="shared" si="6"/>
        <v>126254</v>
      </c>
      <c r="M10" s="16">
        <f t="shared" si="6"/>
        <v>143953</v>
      </c>
      <c r="N10" s="16">
        <f t="shared" si="6"/>
        <v>161652</v>
      </c>
      <c r="O10" s="16" t="str">
        <f t="shared" si="6"/>
        <v/>
      </c>
      <c r="P10" s="16" t="str">
        <f t="shared" si="7"/>
        <v/>
      </c>
      <c r="Q10" s="16" t="str">
        <f t="shared" si="7"/>
        <v/>
      </c>
      <c r="R10" s="16" t="str">
        <f t="shared" si="7"/>
        <v/>
      </c>
      <c r="S10" s="16" t="str">
        <f t="shared" si="7"/>
        <v/>
      </c>
      <c r="T10" s="16" t="str">
        <f t="shared" si="7"/>
        <v/>
      </c>
      <c r="U10" s="16" t="str">
        <f t="shared" si="7"/>
        <v/>
      </c>
      <c r="V10" s="16" t="str">
        <f t="shared" si="7"/>
        <v/>
      </c>
      <c r="W10" s="65"/>
    </row>
    <row r="11" spans="1:23">
      <c r="A11" s="46">
        <f t="shared" si="5"/>
        <v>22</v>
      </c>
      <c r="B11" s="57">
        <f t="shared" si="0"/>
        <v>3.39</v>
      </c>
      <c r="C11" s="57" t="str">
        <f t="shared" si="1"/>
        <v/>
      </c>
      <c r="D11" s="57" t="str">
        <f t="shared" si="2"/>
        <v/>
      </c>
      <c r="E11" s="94">
        <f>IF(OR($B11="", VLOOKUP(Plan,Table,4,FALSE)={"CHILD","CH0611","CHILDG"}), "",52)</f>
        <v>52</v>
      </c>
      <c r="F11" s="16">
        <f t="shared" si="6"/>
        <v>20059</v>
      </c>
      <c r="G11" s="16">
        <f t="shared" si="6"/>
        <v>37758</v>
      </c>
      <c r="H11" s="16">
        <f t="shared" si="6"/>
        <v>55457</v>
      </c>
      <c r="I11" s="16">
        <f t="shared" si="6"/>
        <v>73156</v>
      </c>
      <c r="J11" s="16">
        <f t="shared" si="6"/>
        <v>90855</v>
      </c>
      <c r="K11" s="16">
        <f t="shared" si="6"/>
        <v>108555</v>
      </c>
      <c r="L11" s="16">
        <f t="shared" si="6"/>
        <v>126254</v>
      </c>
      <c r="M11" s="16">
        <f t="shared" si="6"/>
        <v>143953</v>
      </c>
      <c r="N11" s="16">
        <f t="shared" si="6"/>
        <v>161652</v>
      </c>
      <c r="O11" s="16" t="str">
        <f t="shared" si="6"/>
        <v/>
      </c>
      <c r="P11" s="16" t="str">
        <f t="shared" si="7"/>
        <v/>
      </c>
      <c r="Q11" s="16" t="str">
        <f t="shared" si="7"/>
        <v/>
      </c>
      <c r="R11" s="16" t="str">
        <f t="shared" si="7"/>
        <v/>
      </c>
      <c r="S11" s="16" t="str">
        <f t="shared" si="7"/>
        <v/>
      </c>
      <c r="T11" s="16" t="str">
        <f t="shared" si="7"/>
        <v/>
      </c>
      <c r="U11" s="16" t="str">
        <f t="shared" si="7"/>
        <v/>
      </c>
      <c r="V11" s="16" t="str">
        <f t="shared" si="7"/>
        <v/>
      </c>
      <c r="W11" s="65"/>
    </row>
    <row r="12" spans="1:23">
      <c r="A12" s="46">
        <f t="shared" si="5"/>
        <v>23</v>
      </c>
      <c r="B12" s="57">
        <f t="shared" si="0"/>
        <v>3.39</v>
      </c>
      <c r="C12" s="57" t="str">
        <f t="shared" si="1"/>
        <v/>
      </c>
      <c r="D12" s="57" t="str">
        <f t="shared" si="2"/>
        <v/>
      </c>
      <c r="E12" s="94">
        <f>IF(OR($B12="", VLOOKUP(Plan,Table,4,FALSE)={"CHILD","CH0611","CHILDG"}), "",52)</f>
        <v>52</v>
      </c>
      <c r="F12" s="16">
        <f t="shared" si="6"/>
        <v>20059</v>
      </c>
      <c r="G12" s="16">
        <f t="shared" si="6"/>
        <v>37758</v>
      </c>
      <c r="H12" s="16">
        <f t="shared" si="6"/>
        <v>55457</v>
      </c>
      <c r="I12" s="16">
        <f t="shared" si="6"/>
        <v>73156</v>
      </c>
      <c r="J12" s="16">
        <f t="shared" si="6"/>
        <v>90855</v>
      </c>
      <c r="K12" s="16">
        <f t="shared" si="6"/>
        <v>108555</v>
      </c>
      <c r="L12" s="16">
        <f t="shared" si="6"/>
        <v>126254</v>
      </c>
      <c r="M12" s="16">
        <f t="shared" si="6"/>
        <v>143953</v>
      </c>
      <c r="N12" s="16">
        <f t="shared" si="6"/>
        <v>161652</v>
      </c>
      <c r="O12" s="16" t="str">
        <f t="shared" si="6"/>
        <v/>
      </c>
      <c r="P12" s="16" t="str">
        <f t="shared" si="7"/>
        <v/>
      </c>
      <c r="Q12" s="16" t="str">
        <f t="shared" si="7"/>
        <v/>
      </c>
      <c r="R12" s="16" t="str">
        <f t="shared" si="7"/>
        <v/>
      </c>
      <c r="S12" s="16" t="str">
        <f t="shared" si="7"/>
        <v/>
      </c>
      <c r="T12" s="16" t="str">
        <f t="shared" si="7"/>
        <v/>
      </c>
      <c r="U12" s="16" t="str">
        <f t="shared" si="7"/>
        <v/>
      </c>
      <c r="V12" s="16" t="str">
        <f t="shared" si="7"/>
        <v/>
      </c>
      <c r="W12" s="65"/>
    </row>
    <row r="13" spans="1:23">
      <c r="A13" s="46">
        <f t="shared" si="5"/>
        <v>24</v>
      </c>
      <c r="B13" s="57">
        <f t="shared" si="0"/>
        <v>3.39</v>
      </c>
      <c r="C13" s="57" t="str">
        <f t="shared" si="1"/>
        <v/>
      </c>
      <c r="D13" s="57" t="str">
        <f t="shared" si="2"/>
        <v/>
      </c>
      <c r="E13" s="94">
        <f>IF(OR($B13="", VLOOKUP(Plan,Table,4,FALSE)={"CHILD","CH0611","CHILDG"}), "",52)</f>
        <v>52</v>
      </c>
      <c r="F13" s="16">
        <f t="shared" si="6"/>
        <v>20059</v>
      </c>
      <c r="G13" s="16">
        <f t="shared" si="6"/>
        <v>37758</v>
      </c>
      <c r="H13" s="16">
        <f t="shared" si="6"/>
        <v>55457</v>
      </c>
      <c r="I13" s="16">
        <f t="shared" si="6"/>
        <v>73156</v>
      </c>
      <c r="J13" s="16">
        <f t="shared" si="6"/>
        <v>90855</v>
      </c>
      <c r="K13" s="16">
        <f t="shared" si="6"/>
        <v>108555</v>
      </c>
      <c r="L13" s="16">
        <f t="shared" si="6"/>
        <v>126254</v>
      </c>
      <c r="M13" s="16">
        <f t="shared" si="6"/>
        <v>143953</v>
      </c>
      <c r="N13" s="16">
        <f t="shared" si="6"/>
        <v>161652</v>
      </c>
      <c r="O13" s="16" t="str">
        <f t="shared" si="6"/>
        <v/>
      </c>
      <c r="P13" s="16" t="str">
        <f t="shared" si="7"/>
        <v/>
      </c>
      <c r="Q13" s="16" t="str">
        <f t="shared" si="7"/>
        <v/>
      </c>
      <c r="R13" s="16" t="str">
        <f t="shared" si="7"/>
        <v/>
      </c>
      <c r="S13" s="16" t="str">
        <f t="shared" si="7"/>
        <v/>
      </c>
      <c r="T13" s="16" t="str">
        <f t="shared" si="7"/>
        <v/>
      </c>
      <c r="U13" s="16" t="str">
        <f t="shared" si="7"/>
        <v/>
      </c>
      <c r="V13" s="16" t="str">
        <f t="shared" si="7"/>
        <v/>
      </c>
      <c r="W13" s="65"/>
    </row>
    <row r="14" spans="1:23">
      <c r="A14" s="46">
        <f t="shared" si="5"/>
        <v>25</v>
      </c>
      <c r="B14" s="57">
        <f t="shared" si="0"/>
        <v>3.39</v>
      </c>
      <c r="C14" s="57" t="str">
        <f t="shared" si="1"/>
        <v/>
      </c>
      <c r="D14" s="57" t="str">
        <f t="shared" si="2"/>
        <v/>
      </c>
      <c r="E14" s="94">
        <f>IF(OR($B14="", VLOOKUP(Plan,Table,4,FALSE)={"CHILD","CH0611","CHILDG"}), "",52)</f>
        <v>52</v>
      </c>
      <c r="F14" s="16">
        <f t="shared" si="6"/>
        <v>20059</v>
      </c>
      <c r="G14" s="16">
        <f t="shared" si="6"/>
        <v>37758</v>
      </c>
      <c r="H14" s="16">
        <f t="shared" si="6"/>
        <v>55457</v>
      </c>
      <c r="I14" s="16">
        <f t="shared" si="6"/>
        <v>73156</v>
      </c>
      <c r="J14" s="16">
        <f t="shared" si="6"/>
        <v>90855</v>
      </c>
      <c r="K14" s="16">
        <f t="shared" si="6"/>
        <v>108555</v>
      </c>
      <c r="L14" s="16">
        <f t="shared" si="6"/>
        <v>126254</v>
      </c>
      <c r="M14" s="16">
        <f t="shared" si="6"/>
        <v>143953</v>
      </c>
      <c r="N14" s="16">
        <f t="shared" si="6"/>
        <v>161652</v>
      </c>
      <c r="O14" s="16" t="str">
        <f t="shared" si="6"/>
        <v/>
      </c>
      <c r="P14" s="16" t="str">
        <f t="shared" si="7"/>
        <v/>
      </c>
      <c r="Q14" s="16" t="str">
        <f t="shared" si="7"/>
        <v/>
      </c>
      <c r="R14" s="16" t="str">
        <f t="shared" si="7"/>
        <v/>
      </c>
      <c r="S14" s="16" t="str">
        <f t="shared" si="7"/>
        <v/>
      </c>
      <c r="T14" s="16" t="str">
        <f t="shared" si="7"/>
        <v/>
      </c>
      <c r="U14" s="16" t="str">
        <f t="shared" si="7"/>
        <v/>
      </c>
      <c r="V14" s="16" t="str">
        <f t="shared" si="7"/>
        <v/>
      </c>
      <c r="W14" s="65"/>
    </row>
    <row r="15" spans="1:23">
      <c r="A15" s="46">
        <f t="shared" si="5"/>
        <v>26</v>
      </c>
      <c r="B15" s="57">
        <f t="shared" si="0"/>
        <v>3.41</v>
      </c>
      <c r="C15" s="57" t="str">
        <f t="shared" si="1"/>
        <v/>
      </c>
      <c r="D15" s="57" t="str">
        <f t="shared" si="2"/>
        <v/>
      </c>
      <c r="E15" s="94">
        <f>IF(OR($B15="", VLOOKUP(Plan,Table,4,FALSE)={"CHILD","CH0611","CHILDG"}), "",52)</f>
        <v>52</v>
      </c>
      <c r="F15" s="16">
        <f t="shared" si="6"/>
        <v>19941</v>
      </c>
      <c r="G15" s="16">
        <f t="shared" si="6"/>
        <v>37537</v>
      </c>
      <c r="H15" s="16">
        <f t="shared" si="6"/>
        <v>55132</v>
      </c>
      <c r="I15" s="16">
        <f t="shared" si="6"/>
        <v>72727</v>
      </c>
      <c r="J15" s="16">
        <f t="shared" si="6"/>
        <v>90323</v>
      </c>
      <c r="K15" s="16">
        <f t="shared" si="6"/>
        <v>107918</v>
      </c>
      <c r="L15" s="16">
        <f t="shared" si="6"/>
        <v>125513</v>
      </c>
      <c r="M15" s="16">
        <f t="shared" si="6"/>
        <v>143109</v>
      </c>
      <c r="N15" s="16">
        <f t="shared" si="6"/>
        <v>160704</v>
      </c>
      <c r="O15" s="16" t="str">
        <f t="shared" si="6"/>
        <v/>
      </c>
      <c r="P15" s="16" t="str">
        <f t="shared" si="7"/>
        <v/>
      </c>
      <c r="Q15" s="16" t="str">
        <f t="shared" si="7"/>
        <v/>
      </c>
      <c r="R15" s="16" t="str">
        <f t="shared" si="7"/>
        <v/>
      </c>
      <c r="S15" s="16" t="str">
        <f t="shared" si="7"/>
        <v/>
      </c>
      <c r="T15" s="16" t="str">
        <f t="shared" si="7"/>
        <v/>
      </c>
      <c r="U15" s="16" t="str">
        <f t="shared" si="7"/>
        <v/>
      </c>
      <c r="V15" s="16" t="str">
        <f t="shared" si="7"/>
        <v/>
      </c>
      <c r="W15" s="65"/>
    </row>
    <row r="16" spans="1:23">
      <c r="A16" s="46">
        <f t="shared" si="5"/>
        <v>27</v>
      </c>
      <c r="B16" s="57">
        <f t="shared" si="0"/>
        <v>3.47</v>
      </c>
      <c r="C16" s="57" t="str">
        <f t="shared" si="1"/>
        <v/>
      </c>
      <c r="D16" s="57" t="str">
        <f t="shared" si="2"/>
        <v/>
      </c>
      <c r="E16" s="94">
        <f>IF(OR($B16="", VLOOKUP(Plan,Table,4,FALSE)={"CHILD","CH0611","CHILDG"}), "",52)</f>
        <v>52</v>
      </c>
      <c r="F16" s="16">
        <f t="shared" si="6"/>
        <v>19597</v>
      </c>
      <c r="G16" s="16">
        <f t="shared" si="6"/>
        <v>36888</v>
      </c>
      <c r="H16" s="16">
        <f t="shared" si="6"/>
        <v>54179</v>
      </c>
      <c r="I16" s="16">
        <f t="shared" si="6"/>
        <v>71470</v>
      </c>
      <c r="J16" s="16">
        <f t="shared" si="6"/>
        <v>88761</v>
      </c>
      <c r="K16" s="16">
        <f t="shared" si="6"/>
        <v>106052</v>
      </c>
      <c r="L16" s="16">
        <f t="shared" si="6"/>
        <v>123343</v>
      </c>
      <c r="M16" s="16">
        <f t="shared" si="6"/>
        <v>140634</v>
      </c>
      <c r="N16" s="16">
        <f t="shared" si="6"/>
        <v>157925</v>
      </c>
      <c r="O16" s="16" t="str">
        <f t="shared" si="6"/>
        <v/>
      </c>
      <c r="P16" s="16" t="str">
        <f t="shared" si="7"/>
        <v/>
      </c>
      <c r="Q16" s="16" t="str">
        <f t="shared" si="7"/>
        <v/>
      </c>
      <c r="R16" s="16" t="str">
        <f t="shared" si="7"/>
        <v/>
      </c>
      <c r="S16" s="16" t="str">
        <f t="shared" si="7"/>
        <v/>
      </c>
      <c r="T16" s="16" t="str">
        <f t="shared" si="7"/>
        <v/>
      </c>
      <c r="U16" s="16" t="str">
        <f t="shared" si="7"/>
        <v/>
      </c>
      <c r="V16" s="16" t="str">
        <f t="shared" si="7"/>
        <v/>
      </c>
      <c r="W16" s="65"/>
    </row>
    <row r="17" spans="1:23">
      <c r="A17" s="46">
        <f t="shared" si="5"/>
        <v>28</v>
      </c>
      <c r="B17" s="57">
        <f t="shared" si="0"/>
        <v>3.57</v>
      </c>
      <c r="C17" s="57" t="str">
        <f t="shared" si="1"/>
        <v/>
      </c>
      <c r="D17" s="57" t="str">
        <f t="shared" si="2"/>
        <v/>
      </c>
      <c r="E17" s="94">
        <f>IF(OR($B17="", VLOOKUP(Plan,Table,4,FALSE)={"CHILD","CH0611","CHILDG"}), "",52)</f>
        <v>52</v>
      </c>
      <c r="F17" s="16">
        <f t="shared" si="6"/>
        <v>19048</v>
      </c>
      <c r="G17" s="16">
        <f t="shared" si="6"/>
        <v>35854</v>
      </c>
      <c r="H17" s="16">
        <f t="shared" si="6"/>
        <v>52661</v>
      </c>
      <c r="I17" s="16">
        <f t="shared" si="6"/>
        <v>69468</v>
      </c>
      <c r="J17" s="16">
        <f t="shared" si="6"/>
        <v>86275</v>
      </c>
      <c r="K17" s="16">
        <f t="shared" si="6"/>
        <v>103081</v>
      </c>
      <c r="L17" s="16">
        <f t="shared" si="6"/>
        <v>119888</v>
      </c>
      <c r="M17" s="16">
        <f t="shared" si="6"/>
        <v>136695</v>
      </c>
      <c r="N17" s="16">
        <f t="shared" si="6"/>
        <v>153501</v>
      </c>
      <c r="O17" s="16" t="str">
        <f t="shared" si="6"/>
        <v/>
      </c>
      <c r="P17" s="16" t="str">
        <f t="shared" si="7"/>
        <v/>
      </c>
      <c r="Q17" s="16" t="str">
        <f t="shared" si="7"/>
        <v/>
      </c>
      <c r="R17" s="16" t="str">
        <f t="shared" si="7"/>
        <v/>
      </c>
      <c r="S17" s="16" t="str">
        <f t="shared" si="7"/>
        <v/>
      </c>
      <c r="T17" s="16" t="str">
        <f t="shared" si="7"/>
        <v/>
      </c>
      <c r="U17" s="16" t="str">
        <f t="shared" si="7"/>
        <v/>
      </c>
      <c r="V17" s="16" t="str">
        <f t="shared" si="7"/>
        <v/>
      </c>
      <c r="W17" s="65"/>
    </row>
    <row r="18" spans="1:23">
      <c r="A18" s="46">
        <f t="shared" si="5"/>
        <v>29</v>
      </c>
      <c r="B18" s="57">
        <f t="shared" si="0"/>
        <v>3.72</v>
      </c>
      <c r="C18" s="57" t="str">
        <f t="shared" si="1"/>
        <v/>
      </c>
      <c r="D18" s="57" t="str">
        <f t="shared" si="2"/>
        <v/>
      </c>
      <c r="E18" s="94">
        <f>IF(OR($B18="", VLOOKUP(Plan,Table,4,FALSE)={"CHILD","CH0611","CHILDG"}), "",52)</f>
        <v>52</v>
      </c>
      <c r="F18" s="16">
        <f t="shared" si="6"/>
        <v>18280</v>
      </c>
      <c r="G18" s="16">
        <f t="shared" si="6"/>
        <v>34409</v>
      </c>
      <c r="H18" s="16">
        <f t="shared" si="6"/>
        <v>50538</v>
      </c>
      <c r="I18" s="16">
        <f t="shared" si="6"/>
        <v>66667</v>
      </c>
      <c r="J18" s="16">
        <f t="shared" si="6"/>
        <v>82796</v>
      </c>
      <c r="K18" s="16">
        <f t="shared" si="6"/>
        <v>98925</v>
      </c>
      <c r="L18" s="16">
        <f t="shared" si="6"/>
        <v>115054</v>
      </c>
      <c r="M18" s="16">
        <f t="shared" si="6"/>
        <v>131183</v>
      </c>
      <c r="N18" s="16">
        <f t="shared" si="6"/>
        <v>147312</v>
      </c>
      <c r="O18" s="16" t="str">
        <f t="shared" si="6"/>
        <v/>
      </c>
      <c r="P18" s="16" t="str">
        <f t="shared" si="7"/>
        <v/>
      </c>
      <c r="Q18" s="16" t="str">
        <f t="shared" si="7"/>
        <v/>
      </c>
      <c r="R18" s="16" t="str">
        <f t="shared" si="7"/>
        <v/>
      </c>
      <c r="S18" s="16" t="str">
        <f t="shared" si="7"/>
        <v/>
      </c>
      <c r="T18" s="16" t="str">
        <f t="shared" si="7"/>
        <v/>
      </c>
      <c r="U18" s="16" t="str">
        <f t="shared" si="7"/>
        <v/>
      </c>
      <c r="V18" s="16" t="str">
        <f t="shared" si="7"/>
        <v/>
      </c>
      <c r="W18" s="65"/>
    </row>
    <row r="19" spans="1:23">
      <c r="A19" s="46">
        <f t="shared" si="5"/>
        <v>30</v>
      </c>
      <c r="B19" s="57">
        <f t="shared" si="0"/>
        <v>3.91</v>
      </c>
      <c r="C19" s="57" t="str">
        <f t="shared" si="1"/>
        <v/>
      </c>
      <c r="D19" s="57" t="str">
        <f t="shared" si="2"/>
        <v/>
      </c>
      <c r="E19" s="94">
        <f>IF(OR($B19="", VLOOKUP(Plan,Table,4,FALSE)={"CHILD","CH0611","CHILDG"}), "",52)</f>
        <v>52</v>
      </c>
      <c r="F19" s="16">
        <f t="shared" ref="F19:O28" si="8">IF(OR($B19="", F$3=""),"",IF(ROUND(((F$3*mode-IF($E19&lt;&gt;"",$E19,0))*1000)/$B19,0)&lt;0, "Check Premium", ROUND(((F$3*mode-IF($E19&lt;&gt;"",$E19,0))*1000)/($B19+IF($C19&lt;&gt;"", $C19, 0)+IF($D19&lt;&gt;"", $D19, 0)),0)))</f>
        <v>17391</v>
      </c>
      <c r="G19" s="16">
        <f t="shared" si="8"/>
        <v>32737</v>
      </c>
      <c r="H19" s="16">
        <f t="shared" si="8"/>
        <v>48082</v>
      </c>
      <c r="I19" s="16">
        <f t="shared" si="8"/>
        <v>63427</v>
      </c>
      <c r="J19" s="16">
        <f t="shared" si="8"/>
        <v>78772</v>
      </c>
      <c r="K19" s="16">
        <f t="shared" si="8"/>
        <v>94118</v>
      </c>
      <c r="L19" s="16">
        <f t="shared" si="8"/>
        <v>109463</v>
      </c>
      <c r="M19" s="16">
        <f t="shared" si="8"/>
        <v>124808</v>
      </c>
      <c r="N19" s="16">
        <f t="shared" si="8"/>
        <v>140153</v>
      </c>
      <c r="O19" s="16" t="str">
        <f t="shared" si="8"/>
        <v/>
      </c>
      <c r="P19" s="16" t="str">
        <f t="shared" ref="P19:V28" si="9">IF(OR($B19="", P$3=""),"",IF(ROUND(((P$3*mode-IF($E19&lt;&gt;"",$E19,0))*1000)/$B19,0)&lt;0, "Check Premium", ROUND(((P$3*mode-IF($E19&lt;&gt;"",$E19,0))*1000)/($B19+IF($C19&lt;&gt;"", $C19, 0)+IF($D19&lt;&gt;"", $D19, 0)),0)))</f>
        <v/>
      </c>
      <c r="Q19" s="16" t="str">
        <f t="shared" si="9"/>
        <v/>
      </c>
      <c r="R19" s="16" t="str">
        <f t="shared" si="9"/>
        <v/>
      </c>
      <c r="S19" s="16" t="str">
        <f t="shared" si="9"/>
        <v/>
      </c>
      <c r="T19" s="16" t="str">
        <f t="shared" si="9"/>
        <v/>
      </c>
      <c r="U19" s="16" t="str">
        <f t="shared" si="9"/>
        <v/>
      </c>
      <c r="V19" s="16" t="str">
        <f t="shared" si="9"/>
        <v/>
      </c>
      <c r="W19" s="65"/>
    </row>
    <row r="20" spans="1:23">
      <c r="A20" s="46">
        <f t="shared" si="5"/>
        <v>31</v>
      </c>
      <c r="B20" s="57">
        <f t="shared" si="0"/>
        <v>4.12</v>
      </c>
      <c r="C20" s="57" t="str">
        <f t="shared" si="1"/>
        <v/>
      </c>
      <c r="D20" s="57" t="str">
        <f t="shared" si="2"/>
        <v/>
      </c>
      <c r="E20" s="94">
        <f>IF(OR($B20="", VLOOKUP(Plan,Table,4,FALSE)={"CHILD","CH0611","CHILDG"}), "",52)</f>
        <v>52</v>
      </c>
      <c r="F20" s="16">
        <f t="shared" si="8"/>
        <v>16505</v>
      </c>
      <c r="G20" s="16">
        <f t="shared" si="8"/>
        <v>31068</v>
      </c>
      <c r="H20" s="16">
        <f t="shared" si="8"/>
        <v>45631</v>
      </c>
      <c r="I20" s="16">
        <f t="shared" si="8"/>
        <v>60194</v>
      </c>
      <c r="J20" s="16">
        <f t="shared" si="8"/>
        <v>74757</v>
      </c>
      <c r="K20" s="16">
        <f t="shared" si="8"/>
        <v>89320</v>
      </c>
      <c r="L20" s="16">
        <f t="shared" si="8"/>
        <v>103883</v>
      </c>
      <c r="M20" s="16">
        <f t="shared" si="8"/>
        <v>118447</v>
      </c>
      <c r="N20" s="16">
        <f t="shared" si="8"/>
        <v>133010</v>
      </c>
      <c r="O20" s="16" t="str">
        <f t="shared" si="8"/>
        <v/>
      </c>
      <c r="P20" s="16" t="str">
        <f t="shared" si="9"/>
        <v/>
      </c>
      <c r="Q20" s="16" t="str">
        <f t="shared" si="9"/>
        <v/>
      </c>
      <c r="R20" s="16" t="str">
        <f t="shared" si="9"/>
        <v/>
      </c>
      <c r="S20" s="16" t="str">
        <f t="shared" si="9"/>
        <v/>
      </c>
      <c r="T20" s="16" t="str">
        <f t="shared" si="9"/>
        <v/>
      </c>
      <c r="U20" s="16" t="str">
        <f t="shared" si="9"/>
        <v/>
      </c>
      <c r="V20" s="16" t="str">
        <f t="shared" si="9"/>
        <v/>
      </c>
      <c r="W20" s="65"/>
    </row>
    <row r="21" spans="1:23">
      <c r="A21" s="46">
        <f t="shared" si="5"/>
        <v>32</v>
      </c>
      <c r="B21" s="57">
        <f t="shared" si="0"/>
        <v>4.3499999999999996</v>
      </c>
      <c r="C21" s="57" t="str">
        <f t="shared" ref="C21:C52" si="10">IF(OR($C$3&lt;&gt;"Yes",$B21="", $A21&lt;18, $A21&gt;55, ISNA(VLOOKUP(Plan, Table, 2,FALSE))), "",VLOOKUP($A21, WaiverOfPremiumRate, MATCH(VLOOKUP(Plan, Table, 2,FALSE),WOPRatekey, FALSE)+1, FALSE))</f>
        <v/>
      </c>
      <c r="D21" s="57" t="str">
        <f t="shared" ref="D21:D52" si="11">IF(OR($C$4&lt;&gt;"Yes",$B21="", $A21&lt;18, $A21&gt;65, ISNA(VLOOKUP(Plan, Table, 3,FALSE))), "", VLOOKUP($A21, QualityofLifeRiderRate, MATCH(VLOOKUP(Plan, Table, 3,FALSE),RiderRatekey, FALSE)+1, FALSE))</f>
        <v/>
      </c>
      <c r="E21" s="94">
        <f>IF(OR($B21="", VLOOKUP(Plan,Table,4,FALSE)={"CHILD","CH0611","CHILDG"}), "",52)</f>
        <v>52</v>
      </c>
      <c r="F21" s="16">
        <f t="shared" si="8"/>
        <v>15632</v>
      </c>
      <c r="G21" s="16">
        <f t="shared" si="8"/>
        <v>29425</v>
      </c>
      <c r="H21" s="16">
        <f t="shared" si="8"/>
        <v>43218</v>
      </c>
      <c r="I21" s="16">
        <f t="shared" si="8"/>
        <v>57011</v>
      </c>
      <c r="J21" s="16">
        <f t="shared" si="8"/>
        <v>70805</v>
      </c>
      <c r="K21" s="16">
        <f t="shared" si="8"/>
        <v>84598</v>
      </c>
      <c r="L21" s="16">
        <f t="shared" si="8"/>
        <v>98391</v>
      </c>
      <c r="M21" s="16">
        <f t="shared" si="8"/>
        <v>112184</v>
      </c>
      <c r="N21" s="16">
        <f t="shared" si="8"/>
        <v>125977</v>
      </c>
      <c r="O21" s="16" t="str">
        <f t="shared" si="8"/>
        <v/>
      </c>
      <c r="P21" s="16" t="str">
        <f t="shared" si="9"/>
        <v/>
      </c>
      <c r="Q21" s="16" t="str">
        <f t="shared" si="9"/>
        <v/>
      </c>
      <c r="R21" s="16" t="str">
        <f t="shared" si="9"/>
        <v/>
      </c>
      <c r="S21" s="16" t="str">
        <f t="shared" si="9"/>
        <v/>
      </c>
      <c r="T21" s="16" t="str">
        <f t="shared" si="9"/>
        <v/>
      </c>
      <c r="U21" s="16" t="str">
        <f t="shared" si="9"/>
        <v/>
      </c>
      <c r="V21" s="16" t="str">
        <f t="shared" si="9"/>
        <v/>
      </c>
      <c r="W21" s="65"/>
    </row>
    <row r="22" spans="1:23">
      <c r="A22" s="46">
        <f t="shared" si="5"/>
        <v>33</v>
      </c>
      <c r="B22" s="57">
        <f t="shared" si="0"/>
        <v>4.6100000000000003</v>
      </c>
      <c r="C22" s="57" t="str">
        <f t="shared" si="10"/>
        <v/>
      </c>
      <c r="D22" s="57" t="str">
        <f t="shared" si="11"/>
        <v/>
      </c>
      <c r="E22" s="94">
        <f>IF(OR($B22="", VLOOKUP(Plan,Table,4,FALSE)={"CHILD","CH0611","CHILDG"}), "",52)</f>
        <v>52</v>
      </c>
      <c r="F22" s="16">
        <f t="shared" si="8"/>
        <v>14751</v>
      </c>
      <c r="G22" s="16">
        <f t="shared" si="8"/>
        <v>27766</v>
      </c>
      <c r="H22" s="16">
        <f t="shared" si="8"/>
        <v>40781</v>
      </c>
      <c r="I22" s="16">
        <f t="shared" si="8"/>
        <v>53796</v>
      </c>
      <c r="J22" s="16">
        <f t="shared" si="8"/>
        <v>66811</v>
      </c>
      <c r="K22" s="16">
        <f t="shared" si="8"/>
        <v>79826</v>
      </c>
      <c r="L22" s="16">
        <f t="shared" si="8"/>
        <v>92842</v>
      </c>
      <c r="M22" s="16">
        <f t="shared" si="8"/>
        <v>105857</v>
      </c>
      <c r="N22" s="16">
        <f t="shared" si="8"/>
        <v>118872</v>
      </c>
      <c r="O22" s="16" t="str">
        <f t="shared" si="8"/>
        <v/>
      </c>
      <c r="P22" s="16" t="str">
        <f t="shared" si="9"/>
        <v/>
      </c>
      <c r="Q22" s="16" t="str">
        <f t="shared" si="9"/>
        <v/>
      </c>
      <c r="R22" s="16" t="str">
        <f t="shared" si="9"/>
        <v/>
      </c>
      <c r="S22" s="16" t="str">
        <f t="shared" si="9"/>
        <v/>
      </c>
      <c r="T22" s="16" t="str">
        <f t="shared" si="9"/>
        <v/>
      </c>
      <c r="U22" s="16" t="str">
        <f t="shared" si="9"/>
        <v/>
      </c>
      <c r="V22" s="16" t="str">
        <f t="shared" si="9"/>
        <v/>
      </c>
      <c r="W22" s="65"/>
    </row>
    <row r="23" spans="1:23">
      <c r="A23" s="46">
        <f t="shared" si="5"/>
        <v>34</v>
      </c>
      <c r="B23" s="57">
        <f t="shared" si="0"/>
        <v>4.9000000000000004</v>
      </c>
      <c r="C23" s="57" t="str">
        <f t="shared" si="10"/>
        <v/>
      </c>
      <c r="D23" s="57" t="str">
        <f t="shared" si="11"/>
        <v/>
      </c>
      <c r="E23" s="94">
        <f>IF(OR($B23="", VLOOKUP(Plan,Table,4,FALSE)={"CHILD","CH0611","CHILDG"}), "",52)</f>
        <v>52</v>
      </c>
      <c r="F23" s="16">
        <f t="shared" si="8"/>
        <v>13878</v>
      </c>
      <c r="G23" s="16">
        <f t="shared" si="8"/>
        <v>26122</v>
      </c>
      <c r="H23" s="16">
        <f t="shared" si="8"/>
        <v>38367</v>
      </c>
      <c r="I23" s="16">
        <f t="shared" si="8"/>
        <v>50612</v>
      </c>
      <c r="J23" s="16">
        <f t="shared" si="8"/>
        <v>62857</v>
      </c>
      <c r="K23" s="16">
        <f t="shared" si="8"/>
        <v>75102</v>
      </c>
      <c r="L23" s="16">
        <f t="shared" si="8"/>
        <v>87347</v>
      </c>
      <c r="M23" s="16">
        <f t="shared" si="8"/>
        <v>99592</v>
      </c>
      <c r="N23" s="16">
        <f t="shared" si="8"/>
        <v>111837</v>
      </c>
      <c r="O23" s="16" t="str">
        <f t="shared" si="8"/>
        <v/>
      </c>
      <c r="P23" s="16"/>
      <c r="Q23" s="16"/>
      <c r="R23" s="16"/>
      <c r="S23" s="16"/>
      <c r="T23" s="16" t="str">
        <f t="shared" si="9"/>
        <v/>
      </c>
      <c r="U23" s="16" t="str">
        <f t="shared" si="9"/>
        <v/>
      </c>
      <c r="V23" s="16" t="str">
        <f t="shared" si="9"/>
        <v/>
      </c>
      <c r="W23" s="65"/>
    </row>
    <row r="24" spans="1:23">
      <c r="A24" s="46">
        <f t="shared" si="5"/>
        <v>35</v>
      </c>
      <c r="B24" s="57">
        <f t="shared" si="0"/>
        <v>5.22</v>
      </c>
      <c r="C24" s="57" t="str">
        <f t="shared" si="10"/>
        <v/>
      </c>
      <c r="D24" s="57" t="str">
        <f t="shared" si="11"/>
        <v/>
      </c>
      <c r="E24" s="94">
        <f>IF(OR($B24="", VLOOKUP(Plan,Table,4,FALSE)={"CHILD","CH0611","CHILDG"}), "",52)</f>
        <v>52</v>
      </c>
      <c r="F24" s="16">
        <f t="shared" si="8"/>
        <v>13027</v>
      </c>
      <c r="G24" s="16">
        <f t="shared" si="8"/>
        <v>24521</v>
      </c>
      <c r="H24" s="16">
        <f t="shared" si="8"/>
        <v>36015</v>
      </c>
      <c r="I24" s="16">
        <f>IF(OR($B24="", I$3=""),"",IF(ROUND(((I$3*mode-IF($E24&lt;&gt;"",$E24,0))*1000)/$B24,0)&lt;0, "Check Premium", ROUND(((I$3*mode-IF($E24&lt;&gt;"",$E24,0))*1000)/($B24+IF($C24&lt;&gt;"", $C24, 0)+IF($D24&lt;&gt;"", $D24, 0)),0)))</f>
        <v>47510</v>
      </c>
      <c r="J24" s="16">
        <f t="shared" si="8"/>
        <v>59004</v>
      </c>
      <c r="K24" s="16">
        <f t="shared" si="8"/>
        <v>70498</v>
      </c>
      <c r="L24" s="16">
        <f t="shared" si="8"/>
        <v>81992</v>
      </c>
      <c r="M24" s="16">
        <f t="shared" si="8"/>
        <v>93487</v>
      </c>
      <c r="N24" s="16">
        <f t="shared" si="8"/>
        <v>104981</v>
      </c>
      <c r="O24" s="16" t="str">
        <f t="shared" si="8"/>
        <v/>
      </c>
      <c r="S24" s="16" t="str">
        <f t="shared" si="9"/>
        <v/>
      </c>
      <c r="T24" s="16" t="str">
        <f t="shared" si="9"/>
        <v/>
      </c>
      <c r="U24" s="16" t="str">
        <f t="shared" si="9"/>
        <v/>
      </c>
      <c r="V24" s="16" t="str">
        <f t="shared" si="9"/>
        <v/>
      </c>
      <c r="W24" s="65"/>
    </row>
    <row r="25" spans="1:23">
      <c r="A25" s="46">
        <f t="shared" si="5"/>
        <v>36</v>
      </c>
      <c r="B25" s="57">
        <f t="shared" si="0"/>
        <v>5.57</v>
      </c>
      <c r="C25" s="57" t="str">
        <f t="shared" si="10"/>
        <v/>
      </c>
      <c r="D25" s="57" t="str">
        <f t="shared" si="11"/>
        <v/>
      </c>
      <c r="E25" s="94">
        <f>IF(OR($B25="", VLOOKUP(Plan,Table,4,FALSE)={"CHILD","CH0611","CHILDG"}), "",52)</f>
        <v>52</v>
      </c>
      <c r="F25" s="16">
        <f t="shared" si="8"/>
        <v>12208</v>
      </c>
      <c r="G25" s="16">
        <f t="shared" si="8"/>
        <v>22980</v>
      </c>
      <c r="H25" s="16">
        <f t="shared" si="8"/>
        <v>33752</v>
      </c>
      <c r="I25" s="16">
        <f t="shared" si="8"/>
        <v>44524</v>
      </c>
      <c r="J25" s="16">
        <f t="shared" si="8"/>
        <v>55296</v>
      </c>
      <c r="K25" s="16">
        <f t="shared" si="8"/>
        <v>66068</v>
      </c>
      <c r="L25" s="16">
        <f t="shared" si="8"/>
        <v>76840</v>
      </c>
      <c r="M25" s="16">
        <f t="shared" si="8"/>
        <v>87612</v>
      </c>
      <c r="N25" s="16">
        <f t="shared" si="8"/>
        <v>98384</v>
      </c>
      <c r="O25" s="16" t="str">
        <f t="shared" si="8"/>
        <v/>
      </c>
      <c r="P25" s="16" t="str">
        <f t="shared" si="9"/>
        <v/>
      </c>
      <c r="Q25" s="16" t="str">
        <f t="shared" si="9"/>
        <v/>
      </c>
      <c r="R25" s="16" t="str">
        <f t="shared" si="9"/>
        <v/>
      </c>
      <c r="S25" s="16" t="str">
        <f t="shared" si="9"/>
        <v/>
      </c>
      <c r="T25" s="16" t="str">
        <f t="shared" si="9"/>
        <v/>
      </c>
      <c r="U25" s="16" t="str">
        <f t="shared" si="9"/>
        <v/>
      </c>
      <c r="V25" s="16" t="str">
        <f t="shared" si="9"/>
        <v/>
      </c>
      <c r="W25" s="65"/>
    </row>
    <row r="26" spans="1:23">
      <c r="A26" s="46">
        <f t="shared" si="5"/>
        <v>37</v>
      </c>
      <c r="B26" s="57">
        <f t="shared" si="0"/>
        <v>5.95</v>
      </c>
      <c r="C26" s="57" t="str">
        <f t="shared" si="10"/>
        <v/>
      </c>
      <c r="D26" s="57" t="str">
        <f t="shared" si="11"/>
        <v/>
      </c>
      <c r="E26" s="94">
        <f>IF(OR($B26="", VLOOKUP(Plan,Table,4,FALSE)={"CHILD","CH0611","CHILDG"}), "",52)</f>
        <v>52</v>
      </c>
      <c r="F26" s="16">
        <f t="shared" si="8"/>
        <v>11429</v>
      </c>
      <c r="G26" s="16">
        <f t="shared" si="8"/>
        <v>21513</v>
      </c>
      <c r="H26" s="16">
        <f t="shared" si="8"/>
        <v>31597</v>
      </c>
      <c r="I26" s="16">
        <f t="shared" si="8"/>
        <v>41681</v>
      </c>
      <c r="J26" s="16">
        <f t="shared" si="8"/>
        <v>51765</v>
      </c>
      <c r="K26" s="16">
        <f t="shared" si="8"/>
        <v>61849</v>
      </c>
      <c r="L26" s="16">
        <f t="shared" si="8"/>
        <v>71933</v>
      </c>
      <c r="M26" s="16">
        <f t="shared" si="8"/>
        <v>82017</v>
      </c>
      <c r="N26" s="16">
        <f t="shared" si="8"/>
        <v>92101</v>
      </c>
      <c r="O26" s="16" t="str">
        <f t="shared" si="8"/>
        <v/>
      </c>
      <c r="P26" s="16" t="str">
        <f t="shared" si="9"/>
        <v/>
      </c>
      <c r="Q26" s="16" t="str">
        <f t="shared" si="9"/>
        <v/>
      </c>
      <c r="R26" s="16" t="str">
        <f t="shared" si="9"/>
        <v/>
      </c>
      <c r="S26" s="16" t="str">
        <f t="shared" si="9"/>
        <v/>
      </c>
      <c r="T26" s="16" t="str">
        <f t="shared" si="9"/>
        <v/>
      </c>
      <c r="U26" s="16" t="str">
        <f t="shared" si="9"/>
        <v/>
      </c>
      <c r="V26" s="16" t="str">
        <f t="shared" si="9"/>
        <v/>
      </c>
      <c r="W26" s="65"/>
    </row>
    <row r="27" spans="1:23">
      <c r="A27" s="46">
        <f t="shared" si="5"/>
        <v>38</v>
      </c>
      <c r="B27" s="57">
        <f t="shared" si="0"/>
        <v>6.36</v>
      </c>
      <c r="C27" s="57" t="str">
        <f t="shared" si="10"/>
        <v/>
      </c>
      <c r="D27" s="57" t="str">
        <f t="shared" si="11"/>
        <v/>
      </c>
      <c r="E27" s="94">
        <f>IF(OR($B27="", VLOOKUP(Plan,Table,4,FALSE)={"CHILD","CH0611","CHILDG"}), "",52)</f>
        <v>52</v>
      </c>
      <c r="F27" s="16">
        <f t="shared" si="8"/>
        <v>10692</v>
      </c>
      <c r="G27" s="16">
        <f t="shared" si="8"/>
        <v>20126</v>
      </c>
      <c r="H27" s="16">
        <f t="shared" si="8"/>
        <v>29560</v>
      </c>
      <c r="I27" s="16">
        <f t="shared" si="8"/>
        <v>38994</v>
      </c>
      <c r="J27" s="16">
        <f t="shared" si="8"/>
        <v>48428</v>
      </c>
      <c r="K27" s="16">
        <f t="shared" si="8"/>
        <v>57862</v>
      </c>
      <c r="L27" s="16">
        <f t="shared" si="8"/>
        <v>67296</v>
      </c>
      <c r="M27" s="16">
        <f t="shared" si="8"/>
        <v>76730</v>
      </c>
      <c r="N27" s="16">
        <f t="shared" si="8"/>
        <v>86164</v>
      </c>
      <c r="O27" s="16" t="str">
        <f t="shared" si="8"/>
        <v/>
      </c>
      <c r="P27" s="16" t="str">
        <f t="shared" si="9"/>
        <v/>
      </c>
      <c r="Q27" s="16" t="str">
        <f t="shared" si="9"/>
        <v/>
      </c>
      <c r="R27" s="16" t="str">
        <f t="shared" si="9"/>
        <v/>
      </c>
      <c r="S27" s="16" t="str">
        <f t="shared" si="9"/>
        <v/>
      </c>
      <c r="T27" s="16" t="str">
        <f t="shared" si="9"/>
        <v/>
      </c>
      <c r="U27" s="16" t="str">
        <f t="shared" si="9"/>
        <v/>
      </c>
      <c r="V27" s="16" t="str">
        <f t="shared" si="9"/>
        <v/>
      </c>
      <c r="W27" s="65"/>
    </row>
    <row r="28" spans="1:23">
      <c r="A28" s="46">
        <f t="shared" si="5"/>
        <v>39</v>
      </c>
      <c r="B28" s="57">
        <f t="shared" si="0"/>
        <v>6.81</v>
      </c>
      <c r="C28" s="57" t="str">
        <f t="shared" si="10"/>
        <v/>
      </c>
      <c r="D28" s="57" t="str">
        <f t="shared" si="11"/>
        <v/>
      </c>
      <c r="E28" s="94">
        <f>IF(OR($B28="", VLOOKUP(Plan,Table,4,FALSE)={"CHILD","CH0611","CHILDG"}), "",52)</f>
        <v>52</v>
      </c>
      <c r="F28" s="16">
        <f t="shared" si="8"/>
        <v>9985</v>
      </c>
      <c r="G28" s="16">
        <f t="shared" si="8"/>
        <v>18796</v>
      </c>
      <c r="H28" s="16">
        <f t="shared" si="8"/>
        <v>27606</v>
      </c>
      <c r="I28" s="16">
        <f t="shared" si="8"/>
        <v>36417</v>
      </c>
      <c r="J28" s="16">
        <f t="shared" si="8"/>
        <v>45228</v>
      </c>
      <c r="K28" s="16">
        <f t="shared" si="8"/>
        <v>54038</v>
      </c>
      <c r="L28" s="16">
        <f t="shared" si="8"/>
        <v>62849</v>
      </c>
      <c r="M28" s="16">
        <f t="shared" si="8"/>
        <v>71659</v>
      </c>
      <c r="N28" s="16">
        <f t="shared" si="8"/>
        <v>80470</v>
      </c>
      <c r="O28" s="16" t="str">
        <f t="shared" si="8"/>
        <v/>
      </c>
      <c r="P28" s="16" t="str">
        <f t="shared" si="9"/>
        <v/>
      </c>
      <c r="Q28" s="16" t="str">
        <f t="shared" si="9"/>
        <v/>
      </c>
      <c r="R28" s="16" t="str">
        <f t="shared" si="9"/>
        <v/>
      </c>
      <c r="S28" s="16" t="str">
        <f t="shared" si="9"/>
        <v/>
      </c>
      <c r="T28" s="16" t="str">
        <f t="shared" si="9"/>
        <v/>
      </c>
      <c r="U28" s="16" t="str">
        <f t="shared" si="9"/>
        <v/>
      </c>
      <c r="V28" s="16" t="str">
        <f t="shared" si="9"/>
        <v/>
      </c>
      <c r="W28" s="65"/>
    </row>
    <row r="29" spans="1:23">
      <c r="A29" s="46">
        <f t="shared" si="5"/>
        <v>40</v>
      </c>
      <c r="B29" s="57">
        <f t="shared" si="0"/>
        <v>7.3</v>
      </c>
      <c r="C29" s="57" t="str">
        <f t="shared" si="10"/>
        <v/>
      </c>
      <c r="D29" s="57" t="str">
        <f t="shared" si="11"/>
        <v/>
      </c>
      <c r="E29" s="94">
        <f>IF(OR($B29="", VLOOKUP(Plan,Table,4,FALSE)={"CHILD","CH0611","CHILDG"}), "",52)</f>
        <v>52</v>
      </c>
      <c r="F29" s="16">
        <f t="shared" ref="F29:O38" si="12">IF(OR($B29="", F$3=""),"",IF(ROUND(((F$3*mode-IF($E29&lt;&gt;"",$E29,0))*1000)/$B29,0)&lt;0, "Check Premium", ROUND(((F$3*mode-IF($E29&lt;&gt;"",$E29,0))*1000)/($B29+IF($C29&lt;&gt;"", $C29, 0)+IF($D29&lt;&gt;"", $D29, 0)),0)))</f>
        <v>9315</v>
      </c>
      <c r="G29" s="16">
        <f t="shared" si="12"/>
        <v>17534</v>
      </c>
      <c r="H29" s="16">
        <f t="shared" si="12"/>
        <v>25753</v>
      </c>
      <c r="I29" s="16">
        <f t="shared" si="12"/>
        <v>33973</v>
      </c>
      <c r="J29" s="16">
        <f t="shared" si="12"/>
        <v>42192</v>
      </c>
      <c r="K29" s="16">
        <f t="shared" si="12"/>
        <v>50411</v>
      </c>
      <c r="L29" s="16">
        <f t="shared" si="12"/>
        <v>58630</v>
      </c>
      <c r="M29" s="16">
        <f t="shared" si="12"/>
        <v>66849</v>
      </c>
      <c r="N29" s="16">
        <f t="shared" si="12"/>
        <v>75068</v>
      </c>
      <c r="O29" s="16" t="str">
        <f t="shared" si="12"/>
        <v/>
      </c>
      <c r="P29" s="16" t="str">
        <f t="shared" ref="P29:V38" si="13">IF(OR($B29="", P$3=""),"",IF(ROUND(((P$3*mode-IF($E29&lt;&gt;"",$E29,0))*1000)/$B29,0)&lt;0, "Check Premium", ROUND(((P$3*mode-IF($E29&lt;&gt;"",$E29,0))*1000)/($B29+IF($C29&lt;&gt;"", $C29, 0)+IF($D29&lt;&gt;"", $D29, 0)),0)))</f>
        <v/>
      </c>
      <c r="Q29" s="16" t="str">
        <f t="shared" si="13"/>
        <v/>
      </c>
      <c r="R29" s="16" t="str">
        <f t="shared" si="13"/>
        <v/>
      </c>
      <c r="S29" s="16" t="str">
        <f t="shared" si="13"/>
        <v/>
      </c>
      <c r="T29" s="16" t="str">
        <f t="shared" si="13"/>
        <v/>
      </c>
      <c r="U29" s="16" t="str">
        <f t="shared" si="13"/>
        <v/>
      </c>
      <c r="V29" s="16" t="str">
        <f t="shared" si="13"/>
        <v/>
      </c>
      <c r="W29" s="65"/>
    </row>
    <row r="30" spans="1:23">
      <c r="A30" s="46">
        <f t="shared" si="5"/>
        <v>41</v>
      </c>
      <c r="B30" s="57">
        <f t="shared" si="0"/>
        <v>7.85</v>
      </c>
      <c r="C30" s="57" t="str">
        <f t="shared" si="10"/>
        <v/>
      </c>
      <c r="D30" s="57" t="str">
        <f t="shared" si="11"/>
        <v/>
      </c>
      <c r="E30" s="94">
        <f>IF(OR($B30="", VLOOKUP(Plan,Table,4,FALSE)={"CHILD","CH0611","CHILDG"}), "",52)</f>
        <v>52</v>
      </c>
      <c r="F30" s="16">
        <f t="shared" si="12"/>
        <v>8662</v>
      </c>
      <c r="G30" s="16">
        <f t="shared" si="12"/>
        <v>16306</v>
      </c>
      <c r="H30" s="16">
        <f t="shared" si="12"/>
        <v>23949</v>
      </c>
      <c r="I30" s="16">
        <f t="shared" si="12"/>
        <v>31592</v>
      </c>
      <c r="J30" s="16">
        <f t="shared" si="12"/>
        <v>39236</v>
      </c>
      <c r="K30" s="16">
        <f t="shared" si="12"/>
        <v>46879</v>
      </c>
      <c r="L30" s="16">
        <f t="shared" si="12"/>
        <v>54522</v>
      </c>
      <c r="M30" s="16">
        <f t="shared" si="12"/>
        <v>62166</v>
      </c>
      <c r="N30" s="16">
        <f t="shared" si="12"/>
        <v>69809</v>
      </c>
      <c r="O30" s="16" t="str">
        <f t="shared" si="12"/>
        <v/>
      </c>
      <c r="P30" s="16" t="str">
        <f t="shared" si="13"/>
        <v/>
      </c>
      <c r="Q30" s="16" t="str">
        <f t="shared" si="13"/>
        <v/>
      </c>
      <c r="R30" s="16" t="str">
        <f t="shared" si="13"/>
        <v/>
      </c>
      <c r="S30" s="16" t="str">
        <f t="shared" si="13"/>
        <v/>
      </c>
      <c r="T30" s="16" t="str">
        <f t="shared" si="13"/>
        <v/>
      </c>
      <c r="U30" s="16" t="str">
        <f t="shared" si="13"/>
        <v/>
      </c>
      <c r="V30" s="16" t="str">
        <f t="shared" si="13"/>
        <v/>
      </c>
      <c r="W30" s="65"/>
    </row>
    <row r="31" spans="1:23">
      <c r="A31" s="46">
        <f t="shared" si="5"/>
        <v>42</v>
      </c>
      <c r="B31" s="57">
        <f t="shared" si="0"/>
        <v>8.4499999999999993</v>
      </c>
      <c r="C31" s="57" t="str">
        <f t="shared" si="10"/>
        <v/>
      </c>
      <c r="D31" s="57" t="str">
        <f t="shared" si="11"/>
        <v/>
      </c>
      <c r="E31" s="94">
        <f>IF(OR($B31="", VLOOKUP(Plan,Table,4,FALSE)={"CHILD","CH0611","CHILDG"}), "",52)</f>
        <v>52</v>
      </c>
      <c r="F31" s="16">
        <f t="shared" si="12"/>
        <v>8047</v>
      </c>
      <c r="G31" s="16">
        <f t="shared" si="12"/>
        <v>15148</v>
      </c>
      <c r="H31" s="16">
        <f t="shared" si="12"/>
        <v>22249</v>
      </c>
      <c r="I31" s="16">
        <f t="shared" si="12"/>
        <v>29349</v>
      </c>
      <c r="J31" s="16">
        <f t="shared" si="12"/>
        <v>36450</v>
      </c>
      <c r="K31" s="16">
        <f t="shared" si="12"/>
        <v>43550</v>
      </c>
      <c r="L31" s="16">
        <f t="shared" si="12"/>
        <v>50651</v>
      </c>
      <c r="M31" s="16">
        <f t="shared" si="12"/>
        <v>57751</v>
      </c>
      <c r="N31" s="16">
        <f t="shared" si="12"/>
        <v>64852</v>
      </c>
      <c r="O31" s="16" t="str">
        <f t="shared" si="12"/>
        <v/>
      </c>
      <c r="P31" s="16" t="str">
        <f t="shared" si="13"/>
        <v/>
      </c>
      <c r="Q31" s="16" t="str">
        <f t="shared" si="13"/>
        <v/>
      </c>
      <c r="R31" s="16" t="str">
        <f t="shared" si="13"/>
        <v/>
      </c>
      <c r="S31" s="16" t="str">
        <f t="shared" si="13"/>
        <v/>
      </c>
      <c r="T31" s="16" t="str">
        <f t="shared" si="13"/>
        <v/>
      </c>
      <c r="U31" s="16" t="str">
        <f t="shared" si="13"/>
        <v/>
      </c>
      <c r="V31" s="16" t="str">
        <f t="shared" si="13"/>
        <v/>
      </c>
      <c r="W31" s="65"/>
    </row>
    <row r="32" spans="1:23">
      <c r="A32" s="46">
        <f t="shared" si="5"/>
        <v>43</v>
      </c>
      <c r="B32" s="57">
        <f t="shared" si="0"/>
        <v>9.08</v>
      </c>
      <c r="C32" s="57" t="str">
        <f t="shared" si="10"/>
        <v/>
      </c>
      <c r="D32" s="57" t="str">
        <f t="shared" si="11"/>
        <v/>
      </c>
      <c r="E32" s="94">
        <f>IF(OR($B32="", VLOOKUP(Plan,Table,4,FALSE)={"CHILD","CH0611","CHILDG"}), "",52)</f>
        <v>52</v>
      </c>
      <c r="F32" s="16">
        <f t="shared" si="12"/>
        <v>7489</v>
      </c>
      <c r="G32" s="16">
        <f t="shared" si="12"/>
        <v>14097</v>
      </c>
      <c r="H32" s="16">
        <f t="shared" si="12"/>
        <v>20705</v>
      </c>
      <c r="I32" s="16">
        <f t="shared" si="12"/>
        <v>27313</v>
      </c>
      <c r="J32" s="16">
        <f t="shared" si="12"/>
        <v>33921</v>
      </c>
      <c r="K32" s="16">
        <f t="shared" si="12"/>
        <v>40529</v>
      </c>
      <c r="L32" s="16">
        <f t="shared" si="12"/>
        <v>47137</v>
      </c>
      <c r="M32" s="16">
        <f t="shared" si="12"/>
        <v>53744</v>
      </c>
      <c r="N32" s="16">
        <f t="shared" si="12"/>
        <v>60352</v>
      </c>
      <c r="O32" s="16" t="str">
        <f t="shared" si="12"/>
        <v/>
      </c>
      <c r="P32" s="16" t="str">
        <f t="shared" si="13"/>
        <v/>
      </c>
      <c r="Q32" s="16" t="str">
        <f t="shared" si="13"/>
        <v/>
      </c>
      <c r="R32" s="16" t="str">
        <f t="shared" si="13"/>
        <v/>
      </c>
      <c r="S32" s="16" t="str">
        <f t="shared" si="13"/>
        <v/>
      </c>
      <c r="T32" s="16" t="str">
        <f t="shared" si="13"/>
        <v/>
      </c>
      <c r="U32" s="16" t="str">
        <f t="shared" si="13"/>
        <v/>
      </c>
      <c r="V32" s="16" t="str">
        <f t="shared" si="13"/>
        <v/>
      </c>
      <c r="W32" s="65"/>
    </row>
    <row r="33" spans="1:23">
      <c r="A33" s="46">
        <f t="shared" si="5"/>
        <v>44</v>
      </c>
      <c r="B33" s="57">
        <f t="shared" si="0"/>
        <v>9.74</v>
      </c>
      <c r="C33" s="57" t="str">
        <f t="shared" si="10"/>
        <v/>
      </c>
      <c r="D33" s="57" t="str">
        <f t="shared" si="11"/>
        <v/>
      </c>
      <c r="E33" s="94">
        <f>IF(OR($B33="", VLOOKUP(Plan,Table,4,FALSE)={"CHILD","CH0611","CHILDG"}), "",52)</f>
        <v>52</v>
      </c>
      <c r="F33" s="16">
        <f t="shared" si="12"/>
        <v>6982</v>
      </c>
      <c r="G33" s="16">
        <f t="shared" si="12"/>
        <v>13142</v>
      </c>
      <c r="H33" s="16">
        <f t="shared" si="12"/>
        <v>19302</v>
      </c>
      <c r="I33" s="16">
        <f t="shared" si="12"/>
        <v>25462</v>
      </c>
      <c r="J33" s="16">
        <f t="shared" si="12"/>
        <v>31622</v>
      </c>
      <c r="K33" s="16">
        <f t="shared" si="12"/>
        <v>37782</v>
      </c>
      <c r="L33" s="16">
        <f t="shared" si="12"/>
        <v>43943</v>
      </c>
      <c r="M33" s="16">
        <f t="shared" si="12"/>
        <v>50103</v>
      </c>
      <c r="N33" s="16">
        <f t="shared" si="12"/>
        <v>56263</v>
      </c>
      <c r="O33" s="16" t="str">
        <f t="shared" si="12"/>
        <v/>
      </c>
      <c r="P33" s="16" t="str">
        <f t="shared" si="13"/>
        <v/>
      </c>
      <c r="Q33" s="16" t="str">
        <f t="shared" si="13"/>
        <v/>
      </c>
      <c r="R33" s="16" t="str">
        <f t="shared" si="13"/>
        <v/>
      </c>
      <c r="S33" s="16" t="str">
        <f t="shared" si="13"/>
        <v/>
      </c>
      <c r="T33" s="16" t="str">
        <f t="shared" si="13"/>
        <v/>
      </c>
      <c r="U33" s="16" t="str">
        <f t="shared" si="13"/>
        <v/>
      </c>
      <c r="V33" s="16" t="str">
        <f t="shared" si="13"/>
        <v/>
      </c>
      <c r="W33" s="65"/>
    </row>
    <row r="34" spans="1:23">
      <c r="A34" s="46">
        <f t="shared" si="5"/>
        <v>45</v>
      </c>
      <c r="B34" s="57">
        <f t="shared" si="0"/>
        <v>10.43</v>
      </c>
      <c r="C34" s="57" t="str">
        <f t="shared" si="10"/>
        <v/>
      </c>
      <c r="D34" s="57" t="str">
        <f t="shared" si="11"/>
        <v/>
      </c>
      <c r="E34" s="94">
        <f>IF(OR($B34="", VLOOKUP(Plan,Table,4,FALSE)={"CHILD","CH0611","CHILDG"}), "",52)</f>
        <v>52</v>
      </c>
      <c r="F34" s="16">
        <f t="shared" si="12"/>
        <v>6520</v>
      </c>
      <c r="G34" s="16">
        <f t="shared" si="12"/>
        <v>12272</v>
      </c>
      <c r="H34" s="16">
        <f t="shared" si="12"/>
        <v>18025</v>
      </c>
      <c r="I34" s="16">
        <f t="shared" si="12"/>
        <v>23778</v>
      </c>
      <c r="J34" s="16">
        <f t="shared" si="12"/>
        <v>29530</v>
      </c>
      <c r="K34" s="16">
        <f t="shared" si="12"/>
        <v>35283</v>
      </c>
      <c r="L34" s="16">
        <f t="shared" si="12"/>
        <v>41035</v>
      </c>
      <c r="M34" s="16">
        <f t="shared" si="12"/>
        <v>46788</v>
      </c>
      <c r="N34" s="16">
        <f t="shared" si="12"/>
        <v>52541</v>
      </c>
      <c r="O34" s="16" t="str">
        <f t="shared" si="12"/>
        <v/>
      </c>
      <c r="P34" s="16" t="str">
        <f t="shared" si="13"/>
        <v/>
      </c>
      <c r="Q34" s="16" t="str">
        <f t="shared" si="13"/>
        <v/>
      </c>
      <c r="R34" s="16" t="str">
        <f t="shared" si="13"/>
        <v/>
      </c>
      <c r="S34" s="16" t="str">
        <f t="shared" si="13"/>
        <v/>
      </c>
      <c r="T34" s="16" t="str">
        <f t="shared" si="13"/>
        <v/>
      </c>
      <c r="U34" s="16" t="str">
        <f t="shared" si="13"/>
        <v/>
      </c>
      <c r="V34" s="16" t="str">
        <f t="shared" si="13"/>
        <v/>
      </c>
      <c r="W34" s="65"/>
    </row>
    <row r="35" spans="1:23">
      <c r="A35" s="46">
        <f t="shared" si="5"/>
        <v>46</v>
      </c>
      <c r="B35" s="57">
        <f t="shared" si="0"/>
        <v>11.14</v>
      </c>
      <c r="C35" s="57" t="str">
        <f t="shared" si="10"/>
        <v/>
      </c>
      <c r="D35" s="57" t="str">
        <f t="shared" si="11"/>
        <v/>
      </c>
      <c r="E35" s="94">
        <f>IF(OR($B35="", VLOOKUP(Plan,Table,4,FALSE)={"CHILD","CH0611","CHILDG"}), "",52)</f>
        <v>52</v>
      </c>
      <c r="F35" s="16">
        <f t="shared" si="12"/>
        <v>6104</v>
      </c>
      <c r="G35" s="16">
        <f t="shared" si="12"/>
        <v>11490</v>
      </c>
      <c r="H35" s="16">
        <f t="shared" si="12"/>
        <v>16876</v>
      </c>
      <c r="I35" s="16">
        <f t="shared" si="12"/>
        <v>22262</v>
      </c>
      <c r="J35" s="16">
        <f t="shared" si="12"/>
        <v>27648</v>
      </c>
      <c r="K35" s="16">
        <f t="shared" si="12"/>
        <v>33034</v>
      </c>
      <c r="L35" s="16">
        <f t="shared" si="12"/>
        <v>38420</v>
      </c>
      <c r="M35" s="16">
        <f t="shared" si="12"/>
        <v>43806</v>
      </c>
      <c r="N35" s="16">
        <f t="shared" si="12"/>
        <v>49192</v>
      </c>
      <c r="O35" s="16" t="str">
        <f t="shared" si="12"/>
        <v/>
      </c>
      <c r="P35" s="16" t="str">
        <f t="shared" si="13"/>
        <v/>
      </c>
      <c r="Q35" s="16" t="str">
        <f t="shared" si="13"/>
        <v/>
      </c>
      <c r="R35" s="16" t="str">
        <f t="shared" si="13"/>
        <v/>
      </c>
      <c r="S35" s="16" t="str">
        <f t="shared" si="13"/>
        <v/>
      </c>
      <c r="T35" s="16" t="str">
        <f t="shared" si="13"/>
        <v/>
      </c>
      <c r="U35" s="16" t="str">
        <f t="shared" si="13"/>
        <v/>
      </c>
      <c r="V35" s="16" t="str">
        <f t="shared" si="13"/>
        <v/>
      </c>
      <c r="W35" s="65"/>
    </row>
    <row r="36" spans="1:23">
      <c r="A36" s="46">
        <f t="shared" si="5"/>
        <v>47</v>
      </c>
      <c r="B36" s="57">
        <f t="shared" si="0"/>
        <v>11.87</v>
      </c>
      <c r="C36" s="57" t="str">
        <f t="shared" si="10"/>
        <v/>
      </c>
      <c r="D36" s="57" t="str">
        <f t="shared" si="11"/>
        <v/>
      </c>
      <c r="E36" s="94">
        <f>IF(OR($B36="", VLOOKUP(Plan,Table,4,FALSE)={"CHILD","CH0611","CHILDG"}), "",52)</f>
        <v>52</v>
      </c>
      <c r="F36" s="16">
        <f t="shared" si="12"/>
        <v>5729</v>
      </c>
      <c r="G36" s="16">
        <f t="shared" si="12"/>
        <v>10783</v>
      </c>
      <c r="H36" s="16">
        <f t="shared" si="12"/>
        <v>15838</v>
      </c>
      <c r="I36" s="16">
        <f t="shared" si="12"/>
        <v>20893</v>
      </c>
      <c r="J36" s="16">
        <f t="shared" si="12"/>
        <v>25948</v>
      </c>
      <c r="K36" s="16">
        <f t="shared" si="12"/>
        <v>31003</v>
      </c>
      <c r="L36" s="16">
        <f t="shared" si="12"/>
        <v>36057</v>
      </c>
      <c r="M36" s="16">
        <f t="shared" si="12"/>
        <v>41112</v>
      </c>
      <c r="N36" s="16">
        <f t="shared" si="12"/>
        <v>46167</v>
      </c>
      <c r="O36" s="16" t="str">
        <f t="shared" si="12"/>
        <v/>
      </c>
      <c r="P36" s="16" t="str">
        <f t="shared" si="13"/>
        <v/>
      </c>
      <c r="Q36" s="16" t="str">
        <f t="shared" si="13"/>
        <v/>
      </c>
      <c r="R36" s="16" t="str">
        <f t="shared" si="13"/>
        <v/>
      </c>
      <c r="S36" s="16" t="str">
        <f t="shared" si="13"/>
        <v/>
      </c>
      <c r="T36" s="16" t="str">
        <f t="shared" si="13"/>
        <v/>
      </c>
      <c r="U36" s="16" t="str">
        <f t="shared" si="13"/>
        <v/>
      </c>
      <c r="V36" s="16" t="str">
        <f t="shared" si="13"/>
        <v/>
      </c>
      <c r="W36" s="65"/>
    </row>
    <row r="37" spans="1:23">
      <c r="A37" s="46">
        <f t="shared" si="5"/>
        <v>48</v>
      </c>
      <c r="B37" s="57">
        <f t="shared" si="0"/>
        <v>12.63</v>
      </c>
      <c r="C37" s="57" t="str">
        <f t="shared" si="10"/>
        <v/>
      </c>
      <c r="D37" s="57" t="str">
        <f t="shared" si="11"/>
        <v/>
      </c>
      <c r="E37" s="94">
        <f>IF(OR($B37="", VLOOKUP(Plan,Table,4,FALSE)={"CHILD","CH0611","CHILDG"}), "",52)</f>
        <v>52</v>
      </c>
      <c r="F37" s="16">
        <f t="shared" si="12"/>
        <v>5384</v>
      </c>
      <c r="G37" s="16">
        <f t="shared" si="12"/>
        <v>10135</v>
      </c>
      <c r="H37" s="16">
        <f t="shared" si="12"/>
        <v>14885</v>
      </c>
      <c r="I37" s="16">
        <f t="shared" si="12"/>
        <v>19636</v>
      </c>
      <c r="J37" s="16">
        <f t="shared" si="12"/>
        <v>24386</v>
      </c>
      <c r="K37" s="16">
        <f t="shared" si="12"/>
        <v>29137</v>
      </c>
      <c r="L37" s="16">
        <f t="shared" si="12"/>
        <v>33888</v>
      </c>
      <c r="M37" s="16">
        <f t="shared" si="12"/>
        <v>38638</v>
      </c>
      <c r="N37" s="16">
        <f t="shared" si="12"/>
        <v>43389</v>
      </c>
      <c r="O37" s="16" t="str">
        <f t="shared" si="12"/>
        <v/>
      </c>
      <c r="P37" s="16" t="str">
        <f t="shared" si="13"/>
        <v/>
      </c>
      <c r="Q37" s="16" t="str">
        <f t="shared" si="13"/>
        <v/>
      </c>
      <c r="R37" s="16" t="str">
        <f t="shared" si="13"/>
        <v/>
      </c>
      <c r="S37" s="16" t="str">
        <f t="shared" si="13"/>
        <v/>
      </c>
      <c r="T37" s="16" t="str">
        <f t="shared" si="13"/>
        <v/>
      </c>
      <c r="U37" s="16" t="str">
        <f t="shared" si="13"/>
        <v/>
      </c>
      <c r="V37" s="16" t="str">
        <f t="shared" si="13"/>
        <v/>
      </c>
      <c r="W37" s="65"/>
    </row>
    <row r="38" spans="1:23">
      <c r="A38" s="46">
        <f t="shared" si="5"/>
        <v>49</v>
      </c>
      <c r="B38" s="57">
        <f t="shared" si="0"/>
        <v>13.44</v>
      </c>
      <c r="C38" s="57" t="str">
        <f t="shared" si="10"/>
        <v/>
      </c>
      <c r="D38" s="57" t="str">
        <f t="shared" si="11"/>
        <v/>
      </c>
      <c r="E38" s="94">
        <f>IF(OR($B38="", VLOOKUP(Plan,Table,4,FALSE)={"CHILD","CH0611","CHILDG"}), "",52)</f>
        <v>52</v>
      </c>
      <c r="F38" s="16">
        <f t="shared" si="12"/>
        <v>5060</v>
      </c>
      <c r="G38" s="16">
        <f t="shared" si="12"/>
        <v>9524</v>
      </c>
      <c r="H38" s="16">
        <f t="shared" si="12"/>
        <v>13988</v>
      </c>
      <c r="I38" s="16">
        <f t="shared" si="12"/>
        <v>18452</v>
      </c>
      <c r="J38" s="16">
        <f t="shared" si="12"/>
        <v>22917</v>
      </c>
      <c r="K38" s="16">
        <f t="shared" si="12"/>
        <v>27381</v>
      </c>
      <c r="L38" s="16">
        <f t="shared" si="12"/>
        <v>31845</v>
      </c>
      <c r="M38" s="16">
        <f t="shared" si="12"/>
        <v>36310</v>
      </c>
      <c r="N38" s="16">
        <f t="shared" si="12"/>
        <v>40774</v>
      </c>
      <c r="O38" s="16" t="str">
        <f t="shared" si="12"/>
        <v/>
      </c>
      <c r="P38" s="16" t="str">
        <f t="shared" si="13"/>
        <v/>
      </c>
      <c r="Q38" s="16" t="str">
        <f t="shared" si="13"/>
        <v/>
      </c>
      <c r="R38" s="16" t="str">
        <f t="shared" si="13"/>
        <v/>
      </c>
      <c r="S38" s="16" t="str">
        <f t="shared" si="13"/>
        <v/>
      </c>
      <c r="T38" s="16" t="str">
        <f t="shared" si="13"/>
        <v/>
      </c>
      <c r="U38" s="16" t="str">
        <f t="shared" si="13"/>
        <v/>
      </c>
      <c r="V38" s="16" t="str">
        <f t="shared" si="13"/>
        <v/>
      </c>
      <c r="W38" s="65"/>
    </row>
    <row r="39" spans="1:23">
      <c r="A39" s="46">
        <f t="shared" si="5"/>
        <v>50</v>
      </c>
      <c r="B39" s="57">
        <f t="shared" ref="B39:B59" si="14">IF(AND(MATCH(VLOOKUP(Plan,Table,4,FALSE),PremiumRatekey,FALSE)&lt;=3, $A39&lt;&gt;20),"", VLOOKUP($A39,PremiumRate,MATCH(VLOOKUP(Plan,Table,4,FALSE),PremiumRatekey,FALSE)+1,FALSE))</f>
        <v>14.33</v>
      </c>
      <c r="C39" s="57" t="str">
        <f t="shared" si="10"/>
        <v/>
      </c>
      <c r="D39" s="57" t="str">
        <f t="shared" si="11"/>
        <v/>
      </c>
      <c r="E39" s="94">
        <f>IF(OR($B39="", VLOOKUP(Plan,Table,4,FALSE)={"CHILD","CH0611","CHILDG"}), "",52)</f>
        <v>52</v>
      </c>
      <c r="F39" s="16">
        <f t="shared" ref="F39:O48" si="15">IF(OR($B39="", F$3=""),"",IF(ROUND(((F$3*mode-IF($E39&lt;&gt;"",$E39,0))*1000)/$B39,0)&lt;0, "Check Premium", ROUND(((F$3*mode-IF($E39&lt;&gt;"",$E39,0))*1000)/($B39+IF($C39&lt;&gt;"", $C39, 0)+IF($D39&lt;&gt;"", $D39, 0)),0)))</f>
        <v>4745</v>
      </c>
      <c r="G39" s="16">
        <f t="shared" si="15"/>
        <v>8932</v>
      </c>
      <c r="H39" s="16">
        <f t="shared" si="15"/>
        <v>13119</v>
      </c>
      <c r="I39" s="16">
        <f t="shared" si="15"/>
        <v>17306</v>
      </c>
      <c r="J39" s="16">
        <f t="shared" si="15"/>
        <v>21493</v>
      </c>
      <c r="K39" s="16">
        <f t="shared" si="15"/>
        <v>25680</v>
      </c>
      <c r="L39" s="16">
        <f t="shared" si="15"/>
        <v>29867</v>
      </c>
      <c r="M39" s="16">
        <f t="shared" si="15"/>
        <v>34054</v>
      </c>
      <c r="N39" s="16">
        <f t="shared" si="15"/>
        <v>38241</v>
      </c>
      <c r="O39" s="16" t="str">
        <f t="shared" si="15"/>
        <v/>
      </c>
      <c r="P39" s="16" t="str">
        <f t="shared" ref="P39:V48" si="16">IF(OR($B39="", P$3=""),"",IF(ROUND(((P$3*mode-IF($E39&lt;&gt;"",$E39,0))*1000)/$B39,0)&lt;0, "Check Premium", ROUND(((P$3*mode-IF($E39&lt;&gt;"",$E39,0))*1000)/($B39+IF($C39&lt;&gt;"", $C39, 0)+IF($D39&lt;&gt;"", $D39, 0)),0)))</f>
        <v/>
      </c>
      <c r="Q39" s="16" t="str">
        <f t="shared" si="16"/>
        <v/>
      </c>
      <c r="R39" s="16" t="str">
        <f t="shared" si="16"/>
        <v/>
      </c>
      <c r="S39" s="16" t="str">
        <f t="shared" si="16"/>
        <v/>
      </c>
      <c r="T39" s="16" t="str">
        <f t="shared" si="16"/>
        <v/>
      </c>
      <c r="U39" s="16" t="str">
        <f t="shared" si="16"/>
        <v/>
      </c>
      <c r="V39" s="16" t="str">
        <f t="shared" si="16"/>
        <v/>
      </c>
      <c r="W39" s="65"/>
    </row>
    <row r="40" spans="1:23">
      <c r="A40" s="46">
        <f t="shared" si="5"/>
        <v>51</v>
      </c>
      <c r="B40" s="57">
        <f t="shared" si="14"/>
        <v>15.34</v>
      </c>
      <c r="C40" s="57" t="str">
        <f t="shared" si="10"/>
        <v/>
      </c>
      <c r="D40" s="57" t="str">
        <f t="shared" si="11"/>
        <v/>
      </c>
      <c r="E40" s="94">
        <f>IF(OR($B40="", VLOOKUP(Plan,Table,4,FALSE)={"CHILD","CH0611","CHILDG"}), "",52)</f>
        <v>52</v>
      </c>
      <c r="F40" s="16">
        <f t="shared" si="15"/>
        <v>4433</v>
      </c>
      <c r="G40" s="16">
        <f t="shared" si="15"/>
        <v>8344</v>
      </c>
      <c r="H40" s="16">
        <f t="shared" si="15"/>
        <v>12256</v>
      </c>
      <c r="I40" s="16">
        <f t="shared" si="15"/>
        <v>16167</v>
      </c>
      <c r="J40" s="16">
        <f t="shared" si="15"/>
        <v>20078</v>
      </c>
      <c r="K40" s="16">
        <f t="shared" si="15"/>
        <v>23990</v>
      </c>
      <c r="L40" s="16">
        <f t="shared" si="15"/>
        <v>27901</v>
      </c>
      <c r="M40" s="16">
        <f t="shared" si="15"/>
        <v>31812</v>
      </c>
      <c r="N40" s="16">
        <f t="shared" si="15"/>
        <v>35724</v>
      </c>
      <c r="O40" s="16" t="str">
        <f t="shared" si="15"/>
        <v/>
      </c>
      <c r="P40" s="16" t="str">
        <f t="shared" si="16"/>
        <v/>
      </c>
      <c r="Q40" s="16" t="str">
        <f t="shared" si="16"/>
        <v/>
      </c>
      <c r="R40" s="16" t="str">
        <f t="shared" si="16"/>
        <v/>
      </c>
      <c r="S40" s="16" t="str">
        <f t="shared" si="16"/>
        <v/>
      </c>
      <c r="T40" s="16" t="str">
        <f t="shared" si="16"/>
        <v/>
      </c>
      <c r="U40" s="16" t="str">
        <f t="shared" si="16"/>
        <v/>
      </c>
      <c r="V40" s="16" t="str">
        <f t="shared" si="16"/>
        <v/>
      </c>
      <c r="W40" s="65"/>
    </row>
    <row r="41" spans="1:23">
      <c r="A41" s="46">
        <f t="shared" si="5"/>
        <v>52</v>
      </c>
      <c r="B41" s="57">
        <f t="shared" si="14"/>
        <v>16.5</v>
      </c>
      <c r="C41" s="57" t="str">
        <f t="shared" si="10"/>
        <v/>
      </c>
      <c r="D41" s="57" t="str">
        <f t="shared" si="11"/>
        <v/>
      </c>
      <c r="E41" s="94">
        <f>IF(OR($B41="", VLOOKUP(Plan,Table,4,FALSE)={"CHILD","CH0611","CHILDG"}), "",52)</f>
        <v>52</v>
      </c>
      <c r="F41" s="16">
        <f t="shared" si="15"/>
        <v>4121</v>
      </c>
      <c r="G41" s="16">
        <f t="shared" si="15"/>
        <v>7758</v>
      </c>
      <c r="H41" s="16">
        <f t="shared" si="15"/>
        <v>11394</v>
      </c>
      <c r="I41" s="16">
        <f t="shared" si="15"/>
        <v>15030</v>
      </c>
      <c r="J41" s="16">
        <f t="shared" si="15"/>
        <v>18667</v>
      </c>
      <c r="K41" s="16">
        <f t="shared" si="15"/>
        <v>22303</v>
      </c>
      <c r="L41" s="16">
        <f t="shared" si="15"/>
        <v>25939</v>
      </c>
      <c r="M41" s="16">
        <f t="shared" si="15"/>
        <v>29576</v>
      </c>
      <c r="N41" s="16">
        <f t="shared" si="15"/>
        <v>33212</v>
      </c>
      <c r="O41" s="16" t="str">
        <f t="shared" si="15"/>
        <v/>
      </c>
      <c r="P41" s="16" t="str">
        <f t="shared" si="16"/>
        <v/>
      </c>
      <c r="Q41" s="16" t="str">
        <f t="shared" si="16"/>
        <v/>
      </c>
      <c r="R41" s="16" t="str">
        <f t="shared" si="16"/>
        <v/>
      </c>
      <c r="S41" s="16" t="str">
        <f t="shared" si="16"/>
        <v/>
      </c>
      <c r="T41" s="16" t="str">
        <f t="shared" si="16"/>
        <v/>
      </c>
      <c r="U41" s="16" t="str">
        <f t="shared" si="16"/>
        <v/>
      </c>
      <c r="V41" s="16" t="str">
        <f t="shared" si="16"/>
        <v/>
      </c>
      <c r="W41" s="65"/>
    </row>
    <row r="42" spans="1:23">
      <c r="A42" s="46">
        <f t="shared" si="5"/>
        <v>53</v>
      </c>
      <c r="B42" s="57">
        <f t="shared" si="14"/>
        <v>17.809999999999999</v>
      </c>
      <c r="C42" s="57" t="str">
        <f t="shared" si="10"/>
        <v/>
      </c>
      <c r="D42" s="57" t="str">
        <f t="shared" si="11"/>
        <v/>
      </c>
      <c r="E42" s="94">
        <f>IF(OR($B42="", VLOOKUP(Plan,Table,4,FALSE)={"CHILD","CH0611","CHILDG"}), "",52)</f>
        <v>52</v>
      </c>
      <c r="F42" s="16">
        <f t="shared" si="15"/>
        <v>3818</v>
      </c>
      <c r="G42" s="16">
        <f t="shared" si="15"/>
        <v>7187</v>
      </c>
      <c r="H42" s="16">
        <f t="shared" si="15"/>
        <v>10556</v>
      </c>
      <c r="I42" s="16">
        <f t="shared" si="15"/>
        <v>13925</v>
      </c>
      <c r="J42" s="16">
        <f t="shared" si="15"/>
        <v>17294</v>
      </c>
      <c r="K42" s="16">
        <f t="shared" si="15"/>
        <v>20663</v>
      </c>
      <c r="L42" s="16">
        <f t="shared" si="15"/>
        <v>24031</v>
      </c>
      <c r="M42" s="16">
        <f t="shared" si="15"/>
        <v>27400</v>
      </c>
      <c r="N42" s="16">
        <f t="shared" si="15"/>
        <v>30769</v>
      </c>
      <c r="O42" s="16" t="str">
        <f t="shared" si="15"/>
        <v/>
      </c>
      <c r="P42" s="16" t="str">
        <f t="shared" si="16"/>
        <v/>
      </c>
      <c r="Q42" s="16" t="str">
        <f t="shared" si="16"/>
        <v/>
      </c>
      <c r="R42" s="16" t="str">
        <f t="shared" si="16"/>
        <v/>
      </c>
      <c r="S42" s="16" t="str">
        <f t="shared" si="16"/>
        <v/>
      </c>
      <c r="T42" s="16" t="str">
        <f t="shared" si="16"/>
        <v/>
      </c>
      <c r="U42" s="16" t="str">
        <f t="shared" si="16"/>
        <v/>
      </c>
      <c r="V42" s="16" t="str">
        <f t="shared" si="16"/>
        <v/>
      </c>
      <c r="W42" s="65"/>
    </row>
    <row r="43" spans="1:23">
      <c r="A43" s="46">
        <f t="shared" si="5"/>
        <v>54</v>
      </c>
      <c r="B43" s="57">
        <f t="shared" si="14"/>
        <v>19.27</v>
      </c>
      <c r="C43" s="57" t="str">
        <f t="shared" si="10"/>
        <v/>
      </c>
      <c r="D43" s="57" t="str">
        <f t="shared" si="11"/>
        <v/>
      </c>
      <c r="E43" s="94">
        <f>IF(OR($B43="", VLOOKUP(Plan,Table,4,FALSE)={"CHILD","CH0611","CHILDG"}), "",52)</f>
        <v>52</v>
      </c>
      <c r="F43" s="16">
        <f t="shared" si="15"/>
        <v>3529</v>
      </c>
      <c r="G43" s="16">
        <f t="shared" si="15"/>
        <v>6642</v>
      </c>
      <c r="H43" s="16">
        <f t="shared" si="15"/>
        <v>9756</v>
      </c>
      <c r="I43" s="16">
        <f t="shared" si="15"/>
        <v>12870</v>
      </c>
      <c r="J43" s="16">
        <f t="shared" si="15"/>
        <v>15983</v>
      </c>
      <c r="K43" s="16">
        <f t="shared" si="15"/>
        <v>19097</v>
      </c>
      <c r="L43" s="16">
        <f t="shared" si="15"/>
        <v>22211</v>
      </c>
      <c r="M43" s="16">
        <f t="shared" si="15"/>
        <v>25324</v>
      </c>
      <c r="N43" s="16">
        <f t="shared" si="15"/>
        <v>28438</v>
      </c>
      <c r="O43" s="16" t="str">
        <f t="shared" si="15"/>
        <v/>
      </c>
      <c r="P43" s="16" t="str">
        <f t="shared" si="16"/>
        <v/>
      </c>
      <c r="Q43" s="16" t="str">
        <f t="shared" si="16"/>
        <v/>
      </c>
      <c r="R43" s="16" t="str">
        <f t="shared" si="16"/>
        <v/>
      </c>
      <c r="S43" s="16" t="str">
        <f t="shared" si="16"/>
        <v/>
      </c>
      <c r="T43" s="16" t="str">
        <f t="shared" si="16"/>
        <v/>
      </c>
      <c r="U43" s="16" t="str">
        <f t="shared" si="16"/>
        <v/>
      </c>
      <c r="V43" s="16" t="str">
        <f t="shared" si="16"/>
        <v/>
      </c>
      <c r="W43" s="65"/>
    </row>
    <row r="44" spans="1:23">
      <c r="A44" s="46">
        <f t="shared" si="5"/>
        <v>55</v>
      </c>
      <c r="B44" s="57">
        <f t="shared" si="14"/>
        <v>20.84</v>
      </c>
      <c r="C44" s="57" t="str">
        <f t="shared" si="10"/>
        <v/>
      </c>
      <c r="D44" s="57" t="str">
        <f t="shared" si="11"/>
        <v/>
      </c>
      <c r="E44" s="94">
        <f>IF(OR($B44="", VLOOKUP(Plan,Table,4,FALSE)={"CHILD","CH0611","CHILDG"}), "",52)</f>
        <v>52</v>
      </c>
      <c r="F44" s="16">
        <f t="shared" si="15"/>
        <v>3263</v>
      </c>
      <c r="G44" s="16">
        <f t="shared" si="15"/>
        <v>6142</v>
      </c>
      <c r="H44" s="16">
        <f t="shared" si="15"/>
        <v>9021</v>
      </c>
      <c r="I44" s="16">
        <f t="shared" si="15"/>
        <v>11900</v>
      </c>
      <c r="J44" s="16">
        <f t="shared" si="15"/>
        <v>14779</v>
      </c>
      <c r="K44" s="16">
        <f t="shared" si="15"/>
        <v>17658</v>
      </c>
      <c r="L44" s="16">
        <f t="shared" si="15"/>
        <v>20537</v>
      </c>
      <c r="M44" s="16">
        <f t="shared" si="15"/>
        <v>23417</v>
      </c>
      <c r="N44" s="16">
        <f t="shared" si="15"/>
        <v>26296</v>
      </c>
      <c r="O44" s="16" t="str">
        <f t="shared" si="15"/>
        <v/>
      </c>
      <c r="P44" s="16" t="str">
        <f t="shared" si="16"/>
        <v/>
      </c>
      <c r="Q44" s="16" t="str">
        <f t="shared" si="16"/>
        <v/>
      </c>
      <c r="R44" s="16" t="str">
        <f t="shared" si="16"/>
        <v/>
      </c>
      <c r="S44" s="16" t="str">
        <f t="shared" si="16"/>
        <v/>
      </c>
      <c r="T44" s="16" t="str">
        <f t="shared" si="16"/>
        <v/>
      </c>
      <c r="U44" s="16" t="str">
        <f t="shared" si="16"/>
        <v/>
      </c>
      <c r="V44" s="16" t="str">
        <f t="shared" si="16"/>
        <v/>
      </c>
      <c r="W44" s="65"/>
    </row>
    <row r="45" spans="1:23">
      <c r="A45" s="46">
        <f t="shared" si="5"/>
        <v>56</v>
      </c>
      <c r="B45" s="57">
        <f t="shared" si="14"/>
        <v>22.5</v>
      </c>
      <c r="C45" s="57" t="str">
        <f t="shared" si="10"/>
        <v/>
      </c>
      <c r="D45" s="57" t="str">
        <f t="shared" si="11"/>
        <v/>
      </c>
      <c r="E45" s="94">
        <f>IF(OR($B45="", VLOOKUP(Plan,Table,4,FALSE)={"CHILD","CH0611","CHILDG"}), "",52)</f>
        <v>52</v>
      </c>
      <c r="F45" s="16">
        <f t="shared" si="15"/>
        <v>3022</v>
      </c>
      <c r="G45" s="16">
        <f t="shared" si="15"/>
        <v>5689</v>
      </c>
      <c r="H45" s="16">
        <f t="shared" si="15"/>
        <v>8356</v>
      </c>
      <c r="I45" s="16">
        <f t="shared" si="15"/>
        <v>11022</v>
      </c>
      <c r="J45" s="16">
        <f t="shared" si="15"/>
        <v>13689</v>
      </c>
      <c r="K45" s="16">
        <f t="shared" si="15"/>
        <v>16356</v>
      </c>
      <c r="L45" s="16">
        <f t="shared" si="15"/>
        <v>19022</v>
      </c>
      <c r="M45" s="16">
        <f t="shared" si="15"/>
        <v>21689</v>
      </c>
      <c r="N45" s="16">
        <f t="shared" si="15"/>
        <v>24356</v>
      </c>
      <c r="O45" s="16" t="str">
        <f t="shared" si="15"/>
        <v/>
      </c>
      <c r="P45" s="16" t="str">
        <f t="shared" si="16"/>
        <v/>
      </c>
      <c r="Q45" s="16" t="str">
        <f t="shared" si="16"/>
        <v/>
      </c>
      <c r="R45" s="16" t="str">
        <f t="shared" si="16"/>
        <v/>
      </c>
      <c r="S45" s="16" t="str">
        <f t="shared" si="16"/>
        <v/>
      </c>
      <c r="T45" s="16" t="str">
        <f t="shared" si="16"/>
        <v/>
      </c>
      <c r="U45" s="16" t="str">
        <f t="shared" si="16"/>
        <v/>
      </c>
      <c r="V45" s="16" t="str">
        <f t="shared" si="16"/>
        <v/>
      </c>
      <c r="W45" s="65"/>
    </row>
    <row r="46" spans="1:23">
      <c r="A46" s="46">
        <f t="shared" si="5"/>
        <v>57</v>
      </c>
      <c r="B46" s="57">
        <f t="shared" si="14"/>
        <v>24.22</v>
      </c>
      <c r="C46" s="57" t="str">
        <f t="shared" si="10"/>
        <v/>
      </c>
      <c r="D46" s="57" t="str">
        <f t="shared" si="11"/>
        <v/>
      </c>
      <c r="E46" s="94">
        <f>IF(OR($B46="", VLOOKUP(Plan,Table,4,FALSE)={"CHILD","CH0611","CHILDG"}), "",52)</f>
        <v>52</v>
      </c>
      <c r="F46" s="16">
        <f t="shared" si="15"/>
        <v>2808</v>
      </c>
      <c r="G46" s="16">
        <f t="shared" si="15"/>
        <v>5285</v>
      </c>
      <c r="H46" s="16">
        <f t="shared" si="15"/>
        <v>7762</v>
      </c>
      <c r="I46" s="16">
        <f t="shared" si="15"/>
        <v>10239</v>
      </c>
      <c r="J46" s="16">
        <f t="shared" si="15"/>
        <v>12717</v>
      </c>
      <c r="K46" s="16">
        <f t="shared" si="15"/>
        <v>15194</v>
      </c>
      <c r="L46" s="16">
        <f t="shared" si="15"/>
        <v>17671</v>
      </c>
      <c r="M46" s="16">
        <f t="shared" si="15"/>
        <v>20149</v>
      </c>
      <c r="N46" s="16">
        <f t="shared" si="15"/>
        <v>22626</v>
      </c>
      <c r="O46" s="16" t="str">
        <f t="shared" si="15"/>
        <v/>
      </c>
      <c r="P46" s="16" t="str">
        <f t="shared" si="16"/>
        <v/>
      </c>
      <c r="Q46" s="16" t="str">
        <f t="shared" si="16"/>
        <v/>
      </c>
      <c r="R46" s="16" t="str">
        <f t="shared" si="16"/>
        <v/>
      </c>
      <c r="S46" s="16" t="str">
        <f t="shared" si="16"/>
        <v/>
      </c>
      <c r="T46" s="16" t="str">
        <f t="shared" si="16"/>
        <v/>
      </c>
      <c r="U46" s="16" t="str">
        <f t="shared" si="16"/>
        <v/>
      </c>
      <c r="V46" s="16" t="str">
        <f t="shared" si="16"/>
        <v/>
      </c>
      <c r="W46" s="65"/>
    </row>
    <row r="47" spans="1:23">
      <c r="A47" s="46">
        <f t="shared" si="5"/>
        <v>58</v>
      </c>
      <c r="B47" s="57">
        <f t="shared" si="14"/>
        <v>25.98</v>
      </c>
      <c r="C47" s="57" t="str">
        <f t="shared" si="10"/>
        <v/>
      </c>
      <c r="D47" s="57" t="str">
        <f t="shared" si="11"/>
        <v/>
      </c>
      <c r="E47" s="94">
        <f>IF(OR($B47="", VLOOKUP(Plan,Table,4,FALSE)={"CHILD","CH0611","CHILDG"}), "",52)</f>
        <v>52</v>
      </c>
      <c r="F47" s="16">
        <f t="shared" si="15"/>
        <v>2617</v>
      </c>
      <c r="G47" s="16">
        <f t="shared" si="15"/>
        <v>4927</v>
      </c>
      <c r="H47" s="16">
        <f t="shared" si="15"/>
        <v>7236</v>
      </c>
      <c r="I47" s="16">
        <f t="shared" si="15"/>
        <v>9546</v>
      </c>
      <c r="J47" s="16">
        <f t="shared" si="15"/>
        <v>11855</v>
      </c>
      <c r="K47" s="16">
        <f t="shared" si="15"/>
        <v>14165</v>
      </c>
      <c r="L47" s="16">
        <f t="shared" si="15"/>
        <v>16474</v>
      </c>
      <c r="M47" s="16">
        <f t="shared" si="15"/>
        <v>18784</v>
      </c>
      <c r="N47" s="16">
        <f t="shared" si="15"/>
        <v>21093</v>
      </c>
      <c r="O47" s="16" t="str">
        <f t="shared" si="15"/>
        <v/>
      </c>
      <c r="P47" s="16" t="str">
        <f t="shared" si="16"/>
        <v/>
      </c>
      <c r="Q47" s="16" t="str">
        <f t="shared" si="16"/>
        <v/>
      </c>
      <c r="R47" s="16" t="str">
        <f t="shared" si="16"/>
        <v/>
      </c>
      <c r="S47" s="16" t="str">
        <f t="shared" si="16"/>
        <v/>
      </c>
      <c r="T47" s="16" t="str">
        <f t="shared" si="16"/>
        <v/>
      </c>
      <c r="U47" s="16" t="str">
        <f t="shared" si="16"/>
        <v/>
      </c>
      <c r="V47" s="16" t="str">
        <f t="shared" si="16"/>
        <v/>
      </c>
      <c r="W47" s="65"/>
    </row>
    <row r="48" spans="1:23">
      <c r="A48" s="46">
        <f t="shared" si="5"/>
        <v>59</v>
      </c>
      <c r="B48" s="57">
        <f t="shared" si="14"/>
        <v>27.8</v>
      </c>
      <c r="C48" s="57" t="str">
        <f t="shared" si="10"/>
        <v/>
      </c>
      <c r="D48" s="57" t="str">
        <f t="shared" si="11"/>
        <v/>
      </c>
      <c r="E48" s="94">
        <f>IF(OR($B48="", VLOOKUP(Plan,Table,4,FALSE)={"CHILD","CH0611","CHILDG"}), "",52)</f>
        <v>52</v>
      </c>
      <c r="F48" s="16">
        <f t="shared" si="15"/>
        <v>2446</v>
      </c>
      <c r="G48" s="16">
        <f t="shared" si="15"/>
        <v>4604</v>
      </c>
      <c r="H48" s="16">
        <f t="shared" si="15"/>
        <v>6763</v>
      </c>
      <c r="I48" s="16">
        <f t="shared" si="15"/>
        <v>8921</v>
      </c>
      <c r="J48" s="16">
        <f t="shared" si="15"/>
        <v>11079</v>
      </c>
      <c r="K48" s="16">
        <f t="shared" si="15"/>
        <v>13237</v>
      </c>
      <c r="L48" s="16">
        <f t="shared" si="15"/>
        <v>15396</v>
      </c>
      <c r="M48" s="16">
        <f t="shared" si="15"/>
        <v>17554</v>
      </c>
      <c r="N48" s="16">
        <f t="shared" si="15"/>
        <v>19712</v>
      </c>
      <c r="O48" s="16" t="str">
        <f t="shared" si="15"/>
        <v/>
      </c>
      <c r="P48" s="16" t="str">
        <f t="shared" si="16"/>
        <v/>
      </c>
      <c r="Q48" s="16" t="str">
        <f t="shared" si="16"/>
        <v/>
      </c>
      <c r="R48" s="16" t="str">
        <f t="shared" si="16"/>
        <v/>
      </c>
      <c r="S48" s="16" t="str">
        <f t="shared" si="16"/>
        <v/>
      </c>
      <c r="T48" s="16" t="str">
        <f t="shared" si="16"/>
        <v/>
      </c>
      <c r="U48" s="16" t="str">
        <f t="shared" si="16"/>
        <v/>
      </c>
      <c r="V48" s="16" t="str">
        <f t="shared" si="16"/>
        <v/>
      </c>
      <c r="W48" s="65"/>
    </row>
    <row r="49" spans="1:23">
      <c r="A49" s="46">
        <f t="shared" si="5"/>
        <v>60</v>
      </c>
      <c r="B49" s="57">
        <f t="shared" si="14"/>
        <v>29.7</v>
      </c>
      <c r="C49" s="57" t="str">
        <f t="shared" si="10"/>
        <v/>
      </c>
      <c r="D49" s="57" t="str">
        <f t="shared" si="11"/>
        <v/>
      </c>
      <c r="E49" s="94">
        <f>IF(OR($B49="", VLOOKUP(Plan,Table,4,FALSE)={"CHILD","CH0611","CHILDG"}), "",52)</f>
        <v>52</v>
      </c>
      <c r="F49" s="16">
        <f t="shared" ref="F49:O59" si="17">IF(OR($B49="", F$3=""),"",IF(ROUND(((F$3*mode-IF($E49&lt;&gt;"",$E49,0))*1000)/$B49,0)&lt;0, "Check Premium", ROUND(((F$3*mode-IF($E49&lt;&gt;"",$E49,0))*1000)/($B49+IF($C49&lt;&gt;"", $C49, 0)+IF($D49&lt;&gt;"", $D49, 0)),0)))</f>
        <v>2290</v>
      </c>
      <c r="G49" s="16">
        <f t="shared" si="17"/>
        <v>4310</v>
      </c>
      <c r="H49" s="16">
        <f t="shared" si="17"/>
        <v>6330</v>
      </c>
      <c r="I49" s="16">
        <f t="shared" si="17"/>
        <v>8350</v>
      </c>
      <c r="J49" s="16">
        <f t="shared" si="17"/>
        <v>10370</v>
      </c>
      <c r="K49" s="16">
        <f t="shared" si="17"/>
        <v>12391</v>
      </c>
      <c r="L49" s="16">
        <f t="shared" si="17"/>
        <v>14411</v>
      </c>
      <c r="M49" s="16">
        <f t="shared" si="17"/>
        <v>16431</v>
      </c>
      <c r="N49" s="16">
        <f t="shared" si="17"/>
        <v>18451</v>
      </c>
      <c r="O49" s="16" t="str">
        <f t="shared" si="17"/>
        <v/>
      </c>
      <c r="P49" s="16" t="str">
        <f t="shared" ref="P49:V59" si="18">IF(OR($B49="", P$3=""),"",IF(ROUND(((P$3*mode-IF($E49&lt;&gt;"",$E49,0))*1000)/$B49,0)&lt;0, "Check Premium", ROUND(((P$3*mode-IF($E49&lt;&gt;"",$E49,0))*1000)/($B49+IF($C49&lt;&gt;"", $C49, 0)+IF($D49&lt;&gt;"", $D49, 0)),0)))</f>
        <v/>
      </c>
      <c r="Q49" s="16" t="str">
        <f t="shared" si="18"/>
        <v/>
      </c>
      <c r="R49" s="16" t="str">
        <f t="shared" si="18"/>
        <v/>
      </c>
      <c r="S49" s="16" t="str">
        <f t="shared" si="18"/>
        <v/>
      </c>
      <c r="T49" s="16" t="str">
        <f t="shared" si="18"/>
        <v/>
      </c>
      <c r="U49" s="16" t="str">
        <f t="shared" si="18"/>
        <v/>
      </c>
      <c r="V49" s="16" t="str">
        <f t="shared" si="18"/>
        <v/>
      </c>
      <c r="W49" s="65"/>
    </row>
    <row r="50" spans="1:23">
      <c r="A50" s="46">
        <f t="shared" si="5"/>
        <v>61</v>
      </c>
      <c r="B50" s="57">
        <f t="shared" si="14"/>
        <v>31.68</v>
      </c>
      <c r="C50" s="57" t="str">
        <f t="shared" si="10"/>
        <v/>
      </c>
      <c r="D50" s="57" t="str">
        <f t="shared" si="11"/>
        <v/>
      </c>
      <c r="E50" s="94">
        <f>IF(OR($B50="", VLOOKUP(Plan,Table,4,FALSE)={"CHILD","CH0611","CHILDG"}), "",52)</f>
        <v>52</v>
      </c>
      <c r="F50" s="16">
        <f t="shared" si="17"/>
        <v>2146</v>
      </c>
      <c r="G50" s="16">
        <f t="shared" si="17"/>
        <v>4040</v>
      </c>
      <c r="H50" s="16">
        <f t="shared" si="17"/>
        <v>5934</v>
      </c>
      <c r="I50" s="16">
        <f t="shared" si="17"/>
        <v>7828</v>
      </c>
      <c r="J50" s="16">
        <f t="shared" si="17"/>
        <v>9722</v>
      </c>
      <c r="K50" s="16">
        <f t="shared" si="17"/>
        <v>11616</v>
      </c>
      <c r="L50" s="16">
        <f t="shared" si="17"/>
        <v>13510</v>
      </c>
      <c r="M50" s="16">
        <f t="shared" si="17"/>
        <v>15404</v>
      </c>
      <c r="N50" s="16">
        <f t="shared" si="17"/>
        <v>17298</v>
      </c>
      <c r="O50" s="16" t="str">
        <f t="shared" si="17"/>
        <v/>
      </c>
      <c r="P50" s="16" t="str">
        <f t="shared" si="18"/>
        <v/>
      </c>
      <c r="Q50" s="16" t="str">
        <f t="shared" si="18"/>
        <v/>
      </c>
      <c r="R50" s="16" t="str">
        <f t="shared" si="18"/>
        <v/>
      </c>
      <c r="S50" s="16" t="str">
        <f t="shared" si="18"/>
        <v/>
      </c>
      <c r="T50" s="16" t="str">
        <f t="shared" si="18"/>
        <v/>
      </c>
      <c r="U50" s="16" t="str">
        <f t="shared" si="18"/>
        <v/>
      </c>
      <c r="V50" s="16" t="str">
        <f t="shared" si="18"/>
        <v/>
      </c>
      <c r="W50" s="65"/>
    </row>
    <row r="51" spans="1:23">
      <c r="A51" s="46">
        <f t="shared" si="5"/>
        <v>62</v>
      </c>
      <c r="B51" s="57">
        <f t="shared" si="14"/>
        <v>33.76</v>
      </c>
      <c r="C51" s="57" t="str">
        <f t="shared" si="10"/>
        <v/>
      </c>
      <c r="D51" s="57" t="str">
        <f t="shared" si="11"/>
        <v/>
      </c>
      <c r="E51" s="94">
        <f>IF(OR($B51="", VLOOKUP(Plan,Table,4,FALSE)={"CHILD","CH0611","CHILDG"}), "",52)</f>
        <v>52</v>
      </c>
      <c r="F51" s="16">
        <f t="shared" si="17"/>
        <v>2014</v>
      </c>
      <c r="G51" s="16">
        <f t="shared" si="17"/>
        <v>3791</v>
      </c>
      <c r="H51" s="16">
        <f t="shared" si="17"/>
        <v>5569</v>
      </c>
      <c r="I51" s="16">
        <f t="shared" si="17"/>
        <v>7346</v>
      </c>
      <c r="J51" s="16">
        <f t="shared" si="17"/>
        <v>9123</v>
      </c>
      <c r="K51" s="16">
        <f t="shared" si="17"/>
        <v>10900</v>
      </c>
      <c r="L51" s="16">
        <f t="shared" si="17"/>
        <v>12678</v>
      </c>
      <c r="M51" s="16">
        <f t="shared" si="17"/>
        <v>14455</v>
      </c>
      <c r="N51" s="16">
        <f t="shared" si="17"/>
        <v>16232</v>
      </c>
      <c r="O51" s="16" t="str">
        <f t="shared" si="17"/>
        <v/>
      </c>
      <c r="P51" s="16" t="str">
        <f t="shared" si="18"/>
        <v/>
      </c>
      <c r="Q51" s="16" t="str">
        <f t="shared" si="18"/>
        <v/>
      </c>
      <c r="R51" s="16" t="str">
        <f t="shared" si="18"/>
        <v/>
      </c>
      <c r="S51" s="16" t="str">
        <f t="shared" si="18"/>
        <v/>
      </c>
      <c r="T51" s="16" t="str">
        <f t="shared" si="18"/>
        <v/>
      </c>
      <c r="U51" s="16" t="str">
        <f t="shared" si="18"/>
        <v/>
      </c>
      <c r="V51" s="16" t="str">
        <f t="shared" si="18"/>
        <v/>
      </c>
      <c r="W51" s="65"/>
    </row>
    <row r="52" spans="1:23">
      <c r="A52" s="46">
        <f t="shared" si="5"/>
        <v>63</v>
      </c>
      <c r="B52" s="57">
        <f t="shared" si="14"/>
        <v>35.99</v>
      </c>
      <c r="C52" s="57" t="str">
        <f t="shared" si="10"/>
        <v/>
      </c>
      <c r="D52" s="57" t="str">
        <f t="shared" si="11"/>
        <v/>
      </c>
      <c r="E52" s="94">
        <f>IF(OR($B52="", VLOOKUP(Plan,Table,4,FALSE)={"CHILD","CH0611","CHILDG"}), "",52)</f>
        <v>52</v>
      </c>
      <c r="F52" s="16">
        <f t="shared" si="17"/>
        <v>1889</v>
      </c>
      <c r="G52" s="16">
        <f t="shared" si="17"/>
        <v>3557</v>
      </c>
      <c r="H52" s="16">
        <f t="shared" si="17"/>
        <v>5224</v>
      </c>
      <c r="I52" s="16">
        <f t="shared" si="17"/>
        <v>6891</v>
      </c>
      <c r="J52" s="16">
        <f t="shared" si="17"/>
        <v>8558</v>
      </c>
      <c r="K52" s="16">
        <f t="shared" si="17"/>
        <v>10225</v>
      </c>
      <c r="L52" s="16">
        <f t="shared" si="17"/>
        <v>11892</v>
      </c>
      <c r="M52" s="16">
        <f t="shared" si="17"/>
        <v>13559</v>
      </c>
      <c r="N52" s="16">
        <f t="shared" si="17"/>
        <v>15226</v>
      </c>
      <c r="O52" s="16" t="str">
        <f t="shared" si="17"/>
        <v/>
      </c>
      <c r="P52" s="16" t="str">
        <f t="shared" si="18"/>
        <v/>
      </c>
      <c r="Q52" s="16" t="str">
        <f t="shared" si="18"/>
        <v/>
      </c>
      <c r="R52" s="16" t="str">
        <f t="shared" si="18"/>
        <v/>
      </c>
      <c r="S52" s="16" t="str">
        <f t="shared" si="18"/>
        <v/>
      </c>
      <c r="T52" s="16" t="str">
        <f t="shared" si="18"/>
        <v/>
      </c>
      <c r="U52" s="16" t="str">
        <f t="shared" si="18"/>
        <v/>
      </c>
      <c r="V52" s="16" t="str">
        <f t="shared" si="18"/>
        <v/>
      </c>
      <c r="W52" s="65"/>
    </row>
    <row r="53" spans="1:23">
      <c r="A53" s="46">
        <f t="shared" si="5"/>
        <v>64</v>
      </c>
      <c r="B53" s="57">
        <f t="shared" si="14"/>
        <v>38.42</v>
      </c>
      <c r="C53" s="57" t="str">
        <f t="shared" ref="C53:C59" si="19">IF(OR($C$3&lt;&gt;"Yes",$B53="", $A53&lt;18, $A53&gt;55, ISNA(VLOOKUP(Plan, Table, 2,FALSE))), "",VLOOKUP($A53, WaiverOfPremiumRate, MATCH(VLOOKUP(Plan, Table, 2,FALSE),WOPRatekey, FALSE)+1, FALSE))</f>
        <v/>
      </c>
      <c r="D53" s="57" t="str">
        <f t="shared" ref="D53:D59" si="20">IF(OR($C$4&lt;&gt;"Yes",$B53="", $A53&lt;18, $A53&gt;65, ISNA(VLOOKUP(Plan, Table, 3,FALSE))), "", VLOOKUP($A53, QualityofLifeRiderRate, MATCH(VLOOKUP(Plan, Table, 3,FALSE),RiderRatekey, FALSE)+1, FALSE))</f>
        <v/>
      </c>
      <c r="E53" s="94">
        <f>IF(OR($B53="", VLOOKUP(Plan,Table,4,FALSE)={"CHILD","CH0611","CHILDG"}), "",52)</f>
        <v>52</v>
      </c>
      <c r="F53" s="16">
        <f t="shared" si="17"/>
        <v>1770</v>
      </c>
      <c r="G53" s="16">
        <f t="shared" si="17"/>
        <v>3332</v>
      </c>
      <c r="H53" s="16">
        <f t="shared" si="17"/>
        <v>4893</v>
      </c>
      <c r="I53" s="16">
        <f t="shared" si="17"/>
        <v>6455</v>
      </c>
      <c r="J53" s="16">
        <f t="shared" si="17"/>
        <v>8017</v>
      </c>
      <c r="K53" s="16">
        <f t="shared" si="17"/>
        <v>9578</v>
      </c>
      <c r="L53" s="16">
        <f t="shared" si="17"/>
        <v>11140</v>
      </c>
      <c r="M53" s="16">
        <f t="shared" si="17"/>
        <v>12702</v>
      </c>
      <c r="N53" s="16">
        <f t="shared" si="17"/>
        <v>14263</v>
      </c>
      <c r="O53" s="16" t="str">
        <f t="shared" si="17"/>
        <v/>
      </c>
      <c r="P53" s="16" t="str">
        <f t="shared" si="18"/>
        <v/>
      </c>
      <c r="Q53" s="16" t="str">
        <f t="shared" si="18"/>
        <v/>
      </c>
      <c r="R53" s="16" t="str">
        <f t="shared" si="18"/>
        <v/>
      </c>
      <c r="S53" s="16" t="str">
        <f t="shared" si="18"/>
        <v/>
      </c>
      <c r="T53" s="16" t="str">
        <f t="shared" si="18"/>
        <v/>
      </c>
      <c r="U53" s="16" t="str">
        <f t="shared" si="18"/>
        <v/>
      </c>
      <c r="V53" s="16" t="str">
        <f t="shared" si="18"/>
        <v/>
      </c>
      <c r="W53" s="65"/>
    </row>
    <row r="54" spans="1:23">
      <c r="A54" s="46">
        <f t="shared" si="5"/>
        <v>65</v>
      </c>
      <c r="B54" s="57">
        <f t="shared" si="14"/>
        <v>41.15</v>
      </c>
      <c r="C54" s="57" t="str">
        <f t="shared" si="19"/>
        <v/>
      </c>
      <c r="D54" s="57" t="str">
        <f t="shared" si="20"/>
        <v/>
      </c>
      <c r="E54" s="94">
        <f>IF(OR($B54="", VLOOKUP(Plan,Table,4,FALSE)={"CHILD","CH0611","CHILDG"}), "",52)</f>
        <v>52</v>
      </c>
      <c r="F54" s="16">
        <f t="shared" si="17"/>
        <v>1652</v>
      </c>
      <c r="G54" s="16">
        <f t="shared" si="17"/>
        <v>3111</v>
      </c>
      <c r="H54" s="16">
        <f t="shared" si="17"/>
        <v>4569</v>
      </c>
      <c r="I54" s="16">
        <f t="shared" si="17"/>
        <v>6027</v>
      </c>
      <c r="J54" s="16">
        <f t="shared" si="17"/>
        <v>7485</v>
      </c>
      <c r="K54" s="16">
        <f t="shared" si="17"/>
        <v>8943</v>
      </c>
      <c r="L54" s="16">
        <f t="shared" si="17"/>
        <v>10401</v>
      </c>
      <c r="M54" s="16">
        <f t="shared" si="17"/>
        <v>11859</v>
      </c>
      <c r="N54" s="16">
        <f t="shared" si="17"/>
        <v>13317</v>
      </c>
      <c r="O54" s="16" t="str">
        <f t="shared" si="17"/>
        <v/>
      </c>
      <c r="P54" s="16" t="str">
        <f t="shared" si="18"/>
        <v/>
      </c>
      <c r="Q54" s="16" t="str">
        <f t="shared" si="18"/>
        <v/>
      </c>
      <c r="R54" s="16" t="str">
        <f t="shared" si="18"/>
        <v/>
      </c>
      <c r="S54" s="16" t="str">
        <f t="shared" si="18"/>
        <v/>
      </c>
      <c r="T54" s="16" t="str">
        <f t="shared" si="18"/>
        <v/>
      </c>
      <c r="U54" s="16" t="str">
        <f t="shared" si="18"/>
        <v/>
      </c>
      <c r="V54" s="16" t="str">
        <f t="shared" si="18"/>
        <v/>
      </c>
      <c r="W54" s="65"/>
    </row>
    <row r="55" spans="1:23">
      <c r="A55" s="46">
        <f t="shared" ref="A55:A59" si="21">A54+1</f>
        <v>66</v>
      </c>
      <c r="B55" s="57">
        <f t="shared" si="14"/>
        <v>44.28</v>
      </c>
      <c r="C55" s="57" t="str">
        <f t="shared" si="19"/>
        <v/>
      </c>
      <c r="D55" s="57" t="str">
        <f t="shared" si="20"/>
        <v/>
      </c>
      <c r="E55" s="94">
        <f>IF(OR($B55="", VLOOKUP(Plan,Table,4,FALSE)={"CHILD","CH0611","CHILDG"}), "",52)</f>
        <v>52</v>
      </c>
      <c r="F55" s="16">
        <f t="shared" si="17"/>
        <v>1536</v>
      </c>
      <c r="G55" s="16">
        <f t="shared" si="17"/>
        <v>2891</v>
      </c>
      <c r="H55" s="16">
        <f t="shared" si="17"/>
        <v>4246</v>
      </c>
      <c r="I55" s="16">
        <f t="shared" si="17"/>
        <v>5601</v>
      </c>
      <c r="J55" s="16">
        <f t="shared" si="17"/>
        <v>6956</v>
      </c>
      <c r="K55" s="16">
        <f t="shared" si="17"/>
        <v>8311</v>
      </c>
      <c r="L55" s="16">
        <f t="shared" si="17"/>
        <v>9666</v>
      </c>
      <c r="M55" s="16">
        <f t="shared" si="17"/>
        <v>11021</v>
      </c>
      <c r="N55" s="16">
        <f t="shared" si="17"/>
        <v>12376</v>
      </c>
      <c r="O55" s="16" t="str">
        <f t="shared" si="17"/>
        <v/>
      </c>
      <c r="P55" s="16" t="str">
        <f t="shared" si="18"/>
        <v/>
      </c>
      <c r="Q55" s="16" t="str">
        <f t="shared" si="18"/>
        <v/>
      </c>
      <c r="R55" s="16" t="str">
        <f t="shared" si="18"/>
        <v/>
      </c>
      <c r="S55" s="16" t="str">
        <f t="shared" si="18"/>
        <v/>
      </c>
      <c r="T55" s="16" t="str">
        <f t="shared" si="18"/>
        <v/>
      </c>
      <c r="U55" s="16" t="str">
        <f t="shared" si="18"/>
        <v/>
      </c>
      <c r="V55" s="16" t="str">
        <f t="shared" si="18"/>
        <v/>
      </c>
      <c r="W55" s="65"/>
    </row>
    <row r="56" spans="1:23">
      <c r="A56" s="46">
        <f t="shared" si="21"/>
        <v>67</v>
      </c>
      <c r="B56" s="57">
        <f t="shared" si="14"/>
        <v>47.91</v>
      </c>
      <c r="C56" s="57" t="str">
        <f t="shared" si="19"/>
        <v/>
      </c>
      <c r="D56" s="57" t="str">
        <f t="shared" si="20"/>
        <v/>
      </c>
      <c r="E56" s="94">
        <f>IF(OR($B56="", VLOOKUP(Plan,Table,4,FALSE)={"CHILD","CH0611","CHILDG"}), "",52)</f>
        <v>52</v>
      </c>
      <c r="F56" s="16">
        <f t="shared" si="17"/>
        <v>1419</v>
      </c>
      <c r="G56" s="16">
        <f t="shared" si="17"/>
        <v>2672</v>
      </c>
      <c r="H56" s="16">
        <f t="shared" si="17"/>
        <v>3924</v>
      </c>
      <c r="I56" s="16">
        <f t="shared" si="17"/>
        <v>5176</v>
      </c>
      <c r="J56" s="16">
        <f t="shared" si="17"/>
        <v>6429</v>
      </c>
      <c r="K56" s="16">
        <f t="shared" si="17"/>
        <v>7681</v>
      </c>
      <c r="L56" s="16">
        <f t="shared" si="17"/>
        <v>8933</v>
      </c>
      <c r="M56" s="16">
        <f t="shared" si="17"/>
        <v>10186</v>
      </c>
      <c r="N56" s="16">
        <f t="shared" si="17"/>
        <v>11438</v>
      </c>
      <c r="O56" s="16" t="str">
        <f t="shared" si="17"/>
        <v/>
      </c>
      <c r="P56" s="16" t="str">
        <f t="shared" si="18"/>
        <v/>
      </c>
      <c r="Q56" s="16" t="str">
        <f t="shared" si="18"/>
        <v/>
      </c>
      <c r="R56" s="16" t="str">
        <f t="shared" si="18"/>
        <v/>
      </c>
      <c r="S56" s="16" t="str">
        <f t="shared" si="18"/>
        <v/>
      </c>
      <c r="T56" s="16" t="str">
        <f t="shared" si="18"/>
        <v/>
      </c>
      <c r="U56" s="16" t="str">
        <f t="shared" si="18"/>
        <v/>
      </c>
      <c r="V56" s="16" t="str">
        <f t="shared" si="18"/>
        <v/>
      </c>
      <c r="W56" s="65"/>
    </row>
    <row r="57" spans="1:23">
      <c r="A57" s="46">
        <f t="shared" si="21"/>
        <v>68</v>
      </c>
      <c r="B57" s="57">
        <f t="shared" si="14"/>
        <v>52.04</v>
      </c>
      <c r="C57" s="57" t="str">
        <f t="shared" si="19"/>
        <v/>
      </c>
      <c r="D57" s="57" t="str">
        <f t="shared" si="20"/>
        <v/>
      </c>
      <c r="E57" s="94">
        <f>IF(OR($B57="", VLOOKUP(Plan,Table,4,FALSE)={"CHILD","CH0611","CHILDG"}), "",52)</f>
        <v>52</v>
      </c>
      <c r="F57" s="16">
        <f t="shared" si="17"/>
        <v>1307</v>
      </c>
      <c r="G57" s="16">
        <f t="shared" si="17"/>
        <v>2460</v>
      </c>
      <c r="H57" s="16">
        <f t="shared" si="17"/>
        <v>3613</v>
      </c>
      <c r="I57" s="16">
        <f t="shared" si="17"/>
        <v>4766</v>
      </c>
      <c r="J57" s="16">
        <f t="shared" si="17"/>
        <v>5919</v>
      </c>
      <c r="K57" s="16">
        <f t="shared" si="17"/>
        <v>7071</v>
      </c>
      <c r="L57" s="16">
        <f t="shared" si="17"/>
        <v>8224</v>
      </c>
      <c r="M57" s="16">
        <f t="shared" si="17"/>
        <v>9377</v>
      </c>
      <c r="N57" s="16">
        <f t="shared" si="17"/>
        <v>10530</v>
      </c>
      <c r="O57" s="16" t="str">
        <f t="shared" si="17"/>
        <v/>
      </c>
      <c r="P57" s="16" t="str">
        <f t="shared" si="18"/>
        <v/>
      </c>
      <c r="Q57" s="16" t="str">
        <f t="shared" si="18"/>
        <v/>
      </c>
      <c r="R57" s="16" t="str">
        <f t="shared" si="18"/>
        <v/>
      </c>
      <c r="S57" s="16" t="str">
        <f t="shared" si="18"/>
        <v/>
      </c>
      <c r="T57" s="16" t="str">
        <f t="shared" si="18"/>
        <v/>
      </c>
      <c r="U57" s="16" t="str">
        <f t="shared" si="18"/>
        <v/>
      </c>
      <c r="V57" s="16" t="str">
        <f t="shared" si="18"/>
        <v/>
      </c>
      <c r="W57" s="65"/>
    </row>
    <row r="58" spans="1:23">
      <c r="A58" s="46">
        <f t="shared" si="21"/>
        <v>69</v>
      </c>
      <c r="B58" s="57">
        <f t="shared" si="14"/>
        <v>56.72</v>
      </c>
      <c r="C58" s="57" t="str">
        <f t="shared" si="19"/>
        <v/>
      </c>
      <c r="D58" s="57" t="str">
        <f t="shared" si="20"/>
        <v/>
      </c>
      <c r="E58" s="94">
        <f>IF(OR($B58="", VLOOKUP(Plan,Table,4,FALSE)={"CHILD","CH0611","CHILDG"}), "",52)</f>
        <v>52</v>
      </c>
      <c r="F58" s="16">
        <f t="shared" si="17"/>
        <v>1199</v>
      </c>
      <c r="G58" s="16">
        <f t="shared" si="17"/>
        <v>2257</v>
      </c>
      <c r="H58" s="16">
        <f t="shared" si="17"/>
        <v>3315</v>
      </c>
      <c r="I58" s="16">
        <f t="shared" si="17"/>
        <v>4372</v>
      </c>
      <c r="J58" s="16">
        <f t="shared" si="17"/>
        <v>5430</v>
      </c>
      <c r="K58" s="16">
        <f t="shared" si="17"/>
        <v>6488</v>
      </c>
      <c r="L58" s="16">
        <f t="shared" si="17"/>
        <v>7546</v>
      </c>
      <c r="M58" s="16">
        <f t="shared" si="17"/>
        <v>8604</v>
      </c>
      <c r="N58" s="16">
        <f t="shared" si="17"/>
        <v>9661</v>
      </c>
      <c r="O58" s="16" t="str">
        <f t="shared" si="17"/>
        <v/>
      </c>
      <c r="P58" s="16" t="str">
        <f t="shared" si="18"/>
        <v/>
      </c>
      <c r="Q58" s="16" t="str">
        <f t="shared" si="18"/>
        <v/>
      </c>
      <c r="R58" s="16" t="str">
        <f t="shared" si="18"/>
        <v/>
      </c>
      <c r="S58" s="16" t="str">
        <f t="shared" si="18"/>
        <v/>
      </c>
      <c r="T58" s="16" t="str">
        <f t="shared" si="18"/>
        <v/>
      </c>
      <c r="U58" s="16" t="str">
        <f t="shared" si="18"/>
        <v/>
      </c>
      <c r="V58" s="16" t="str">
        <f t="shared" si="18"/>
        <v/>
      </c>
      <c r="W58" s="65"/>
    </row>
    <row r="59" spans="1:23">
      <c r="A59" s="46">
        <f t="shared" si="21"/>
        <v>70</v>
      </c>
      <c r="B59" s="57">
        <f t="shared" si="14"/>
        <v>62</v>
      </c>
      <c r="C59" s="57" t="str">
        <f t="shared" si="19"/>
        <v/>
      </c>
      <c r="D59" s="57" t="str">
        <f t="shared" si="20"/>
        <v/>
      </c>
      <c r="E59" s="94">
        <f>IF(OR($B59="", VLOOKUP(Plan,Table,4,FALSE)={"CHILD","CH0611","CHILDG"}), "",52)</f>
        <v>52</v>
      </c>
      <c r="F59" s="16">
        <f t="shared" si="17"/>
        <v>1097</v>
      </c>
      <c r="G59" s="16">
        <f t="shared" si="17"/>
        <v>2065</v>
      </c>
      <c r="H59" s="16">
        <f t="shared" si="17"/>
        <v>3032</v>
      </c>
      <c r="I59" s="16">
        <f t="shared" si="17"/>
        <v>4000</v>
      </c>
      <c r="J59" s="16">
        <f t="shared" si="17"/>
        <v>4968</v>
      </c>
      <c r="K59" s="16">
        <f t="shared" si="17"/>
        <v>5935</v>
      </c>
      <c r="L59" s="16">
        <f t="shared" si="17"/>
        <v>6903</v>
      </c>
      <c r="M59" s="16">
        <f t="shared" si="17"/>
        <v>7871</v>
      </c>
      <c r="N59" s="16">
        <f t="shared" si="17"/>
        <v>8839</v>
      </c>
      <c r="O59" s="16" t="str">
        <f t="shared" si="17"/>
        <v/>
      </c>
      <c r="P59" s="16" t="str">
        <f t="shared" si="18"/>
        <v/>
      </c>
      <c r="Q59" s="16" t="str">
        <f t="shared" si="18"/>
        <v/>
      </c>
      <c r="R59" s="16" t="str">
        <f t="shared" si="18"/>
        <v/>
      </c>
      <c r="S59" s="16" t="str">
        <f t="shared" si="18"/>
        <v/>
      </c>
      <c r="T59" s="16" t="str">
        <f t="shared" si="18"/>
        <v/>
      </c>
      <c r="U59" s="16" t="str">
        <f t="shared" si="18"/>
        <v/>
      </c>
      <c r="V59" s="16" t="str">
        <f t="shared" si="18"/>
        <v/>
      </c>
      <c r="W59" s="65"/>
    </row>
    <row r="60" spans="1:23" s="30" customFormat="1" ht="10.5" customHeight="1">
      <c r="F60" s="65"/>
      <c r="G60" s="65"/>
      <c r="H60" s="65"/>
      <c r="I60" s="65"/>
      <c r="J60" s="65"/>
      <c r="K60" s="65"/>
      <c r="L60" s="65"/>
      <c r="M60" s="65"/>
      <c r="N60" s="66"/>
      <c r="O60" s="65"/>
      <c r="P60" s="65"/>
      <c r="Q60" s="65"/>
      <c r="R60" s="65"/>
      <c r="S60" s="65"/>
      <c r="T60" s="65"/>
      <c r="U60" s="65"/>
      <c r="V60" s="65"/>
      <c r="W60" s="65"/>
    </row>
    <row r="61" spans="1:23" hidden="1">
      <c r="F61" s="17"/>
      <c r="G61" s="17"/>
      <c r="H61" s="17"/>
      <c r="I61" s="17"/>
      <c r="J61" s="17"/>
      <c r="K61" s="17"/>
      <c r="L61" s="17"/>
      <c r="M61" s="17"/>
      <c r="N61" s="18"/>
      <c r="O61" s="17"/>
      <c r="P61" s="17"/>
      <c r="Q61" s="17"/>
      <c r="R61" s="17"/>
      <c r="S61" s="17"/>
      <c r="T61" s="17"/>
      <c r="U61" s="17"/>
      <c r="V61" s="17"/>
      <c r="W61" s="65"/>
    </row>
    <row r="62" spans="1:23" hidden="1">
      <c r="F62" s="17"/>
      <c r="G62" s="17"/>
      <c r="H62" s="17"/>
      <c r="I62" s="17"/>
      <c r="J62" s="17"/>
      <c r="K62" s="17"/>
      <c r="L62" s="17"/>
      <c r="M62" s="17"/>
      <c r="N62" s="18"/>
      <c r="O62" s="17"/>
      <c r="P62" s="17"/>
      <c r="Q62" s="17"/>
      <c r="R62" s="17"/>
      <c r="S62" s="17"/>
      <c r="T62" s="17"/>
      <c r="U62" s="17"/>
      <c r="V62" s="17"/>
      <c r="W62" s="65"/>
    </row>
    <row r="63" spans="1:23" hidden="1">
      <c r="F63" s="17"/>
      <c r="G63" s="17"/>
      <c r="H63" s="17"/>
      <c r="I63" s="17"/>
      <c r="J63" s="17"/>
      <c r="K63" s="17"/>
      <c r="L63" s="17"/>
      <c r="M63" s="17"/>
      <c r="N63" s="18"/>
      <c r="O63" s="17"/>
      <c r="P63" s="17"/>
      <c r="Q63" s="17"/>
      <c r="R63" s="17"/>
      <c r="S63" s="17"/>
      <c r="T63" s="17"/>
      <c r="U63" s="17"/>
      <c r="V63" s="17"/>
      <c r="W63" s="65"/>
    </row>
    <row r="64" spans="1:23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</sheetData>
  <dataConsolidate/>
  <mergeCells count="43">
    <mergeCell ref="A1:B1"/>
    <mergeCell ref="A2:B2"/>
    <mergeCell ref="A5:A6"/>
    <mergeCell ref="B5:B6"/>
    <mergeCell ref="E5:E6"/>
    <mergeCell ref="A3:B3"/>
    <mergeCell ref="A4:B4"/>
    <mergeCell ref="F1:F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C5:C6"/>
    <mergeCell ref="D5:D6"/>
  </mergeCells>
  <dataValidations count="2">
    <dataValidation type="list" allowBlank="1" showInputMessage="1" showErrorMessage="1" sqref="C2">
      <formula1>"1,2,4,9,12,18,24,26,52"</formula1>
    </dataValidation>
    <dataValidation type="list" allowBlank="1" showInputMessage="1" showErrorMessage="1" sqref="C3:C4">
      <formula1>"Yes, No"</formula1>
    </dataValidation>
  </dataValidations>
  <pageMargins left="0.7" right="0.7" top="0.75" bottom="0.75" header="0.3" footer="0.3"/>
  <pageSetup orientation="portrait"/>
  <headerFooter>
    <oddFooter>&amp;L&amp;"museo sans for dell,Bold"&amp;KAAAAAA                 Dell - Critical Handling - Confidential - Privileged</oddFooter>
    <evenFooter>&amp;L&amp;"museo sans for dell,Bold"&amp;KAAAAAA                 Dell - Critical Handling - Confidential - Privileged</evenFooter>
    <firstFooter>&amp;L&amp;"museo sans for dell,Bold"&amp;KAAAAAA                 Dell - Critical Handling - Confidential - Privileged</first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Rates!$A$2:$A$43</xm:f>
          </x14:formula1>
          <xm:sqref>C1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G67"/>
  <sheetViews>
    <sheetView workbookViewId="0">
      <selection activeCell="C2" sqref="C2"/>
    </sheetView>
  </sheetViews>
  <sheetFormatPr baseColWidth="10" defaultColWidth="0" defaultRowHeight="14" zeroHeight="1" x14ac:dyDescent="0"/>
  <cols>
    <col min="1" max="1" width="10.83203125" style="1" customWidth="1"/>
    <col min="2" max="2" width="12.83203125" style="1" customWidth="1"/>
    <col min="3" max="3" width="24.5" style="1" customWidth="1"/>
    <col min="4" max="4" width="2.5" style="30" customWidth="1"/>
    <col min="5" max="5" width="15.33203125" style="45" hidden="1" customWidth="1"/>
    <col min="6" max="6" width="15.33203125" style="5" hidden="1" customWidth="1"/>
    <col min="7" max="7" width="15.5" style="5" hidden="1" customWidth="1"/>
    <col min="8" max="8" width="15.6640625" style="5" hidden="1" customWidth="1"/>
    <col min="9" max="9" width="15.83203125" style="5" hidden="1" customWidth="1"/>
    <col min="10" max="10" width="15.6640625" style="5" hidden="1" customWidth="1"/>
    <col min="11" max="11" width="15.33203125" style="5" hidden="1" customWidth="1"/>
    <col min="12" max="16" width="17.33203125" style="5" hidden="1" customWidth="1"/>
    <col min="17" max="17" width="16" style="5" hidden="1" customWidth="1"/>
    <col min="18" max="19" width="15.33203125" style="5" hidden="1" customWidth="1"/>
    <col min="20" max="20" width="15.5" style="5" hidden="1" customWidth="1"/>
    <col min="21" max="33" width="0" style="5" hidden="1" customWidth="1"/>
    <col min="34" max="16384" width="9.1640625" style="1" hidden="1"/>
  </cols>
  <sheetData>
    <row r="1" spans="1:20" ht="21.75" customHeight="1">
      <c r="A1" s="137" t="s">
        <v>8</v>
      </c>
      <c r="B1" s="138"/>
      <c r="C1" s="53" t="s">
        <v>18</v>
      </c>
    </row>
    <row r="2" spans="1:20" ht="21.75" customHeight="1">
      <c r="A2" s="139" t="s">
        <v>13</v>
      </c>
      <c r="B2" s="140"/>
      <c r="C2" s="53">
        <v>12</v>
      </c>
      <c r="D2" s="50"/>
      <c r="E2" s="4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1:20" s="5" customFormat="1" ht="21.75" customHeight="1">
      <c r="A3" s="139" t="s">
        <v>10</v>
      </c>
      <c r="B3" s="140"/>
      <c r="C3" s="54">
        <v>100000</v>
      </c>
      <c r="D3" s="50"/>
      <c r="E3" s="4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  <row r="4" spans="1:20" s="5" customFormat="1" ht="21.75" customHeight="1">
      <c r="A4" s="139" t="s">
        <v>0</v>
      </c>
      <c r="B4" s="140"/>
      <c r="C4" s="53">
        <v>50</v>
      </c>
      <c r="D4" s="50"/>
      <c r="E4" s="4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</row>
    <row r="5" spans="1:20" s="5" customFormat="1" ht="21.75" customHeight="1">
      <c r="A5" s="139" t="s">
        <v>27</v>
      </c>
      <c r="B5" s="140"/>
      <c r="C5" s="53" t="s">
        <v>22</v>
      </c>
      <c r="D5" s="50"/>
      <c r="E5" s="4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</row>
    <row r="6" spans="1:20" s="5" customFormat="1" ht="21.75" customHeight="1">
      <c r="A6" s="139" t="s">
        <v>26</v>
      </c>
      <c r="B6" s="140"/>
      <c r="C6" s="55" t="str">
        <f>IF(AND($C$5="Yes", ISNA(VLOOKUP(Plan, Table,2,FALSE))), "Not Available",IF(OR($C$5&lt;&gt;"Yes",$C$4&lt;18, $C$4&gt;55), "", VLOOKUP($C$4, WaiverOfPremiumRate, MATCH(VLOOKUP(Plan, Table,2,FALSE),WOPRatekey, FALSE)+1, FALSE)))</f>
        <v/>
      </c>
      <c r="D6" s="50"/>
      <c r="E6" s="4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</row>
    <row r="7" spans="1:20" s="5" customFormat="1" ht="21.75" customHeight="1">
      <c r="A7" s="139" t="s">
        <v>29</v>
      </c>
      <c r="B7" s="140"/>
      <c r="C7" s="53" t="s">
        <v>23</v>
      </c>
      <c r="D7" s="50"/>
      <c r="E7" s="4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</row>
    <row r="8" spans="1:20" s="5" customFormat="1" ht="21.75" customHeight="1">
      <c r="A8" s="139" t="s">
        <v>28</v>
      </c>
      <c r="B8" s="140"/>
      <c r="C8" s="55">
        <f>IF(AND($C$7="Yes", ISNA(VLOOKUP(Plan, Table,3,FALSE))), "Not Available",IF(OR($C$7&lt;&gt;"Yes",$C$4&lt;18, $C$4&gt;65), "", VLOOKUP($C$4, QualityofLifeRiderRate, MATCH(VLOOKUP(Plan, Table,3,FALSE),RiderRatekey, FALSE)+1, FALSE)))</f>
        <v>0.73</v>
      </c>
      <c r="D8" s="50"/>
      <c r="E8" s="4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20" s="5" customFormat="1" ht="21.75" customHeight="1">
      <c r="A9" s="139" t="s">
        <v>24</v>
      </c>
      <c r="B9" s="140"/>
      <c r="C9" s="55">
        <f>IF(VLOOKUP($C$4, PremiumRate, MATCH(VLOOKUP(Plan, Table,4,FALSE),PremiumRatekey, FALSE)+1, FALSE)="", "Check Plan or Age", VLOOKUP($C$4, PremiumRate, MATCH(VLOOKUP(Plan, Table,4,FALSE),PremiumRatekey, FALSE)+1, FALSE))</f>
        <v>14.33</v>
      </c>
      <c r="D9" s="50"/>
      <c r="E9" s="4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</row>
    <row r="10" spans="1:20" s="5" customFormat="1" ht="21.75" customHeight="1">
      <c r="A10" s="139" t="s">
        <v>1</v>
      </c>
      <c r="B10" s="140"/>
      <c r="C10" s="56">
        <f>IF($C$9="Check Plan or Age", "Check Plan or Age", IF(OR(VLOOKUP(Plan, Table, 4, FALSE)={"CHILD","CH0611","CHILDG"}), 0, 52))</f>
        <v>52</v>
      </c>
      <c r="D10" s="50"/>
      <c r="E10" s="4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</row>
    <row r="11" spans="1:20" s="5" customFormat="1" ht="21.75" customHeight="1">
      <c r="A11" s="135" t="s">
        <v>9</v>
      </c>
      <c r="B11" s="136"/>
      <c r="C11" s="59">
        <f>IF($C$9="Check Plan or Age", "Check Plan or Age", ROUND((ROUND($C$9*$C$3/1000,2)+IF(AND($C$6&lt;&gt;{"Not Available",""}), ROUND($C$6*$C$3/1000,2), 0)+IF(AND($C$8&lt;&gt;{"Not Available",""}), ROUND($C$8*$C$3/1000,2), 0)+$C$10)/mode,2))</f>
        <v>129.83000000000001</v>
      </c>
      <c r="D11" s="50"/>
      <c r="E11" s="4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</row>
    <row r="12" spans="1:20" s="43" customFormat="1" ht="11.25" customHeight="1"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</row>
    <row r="13" spans="1:20" hidden="1">
      <c r="A13" s="45"/>
      <c r="B13" s="49"/>
      <c r="C13" s="49"/>
      <c r="D13" s="52"/>
      <c r="E13" s="4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14" spans="1:20" hidden="1">
      <c r="A14" s="45"/>
      <c r="B14" s="49"/>
      <c r="C14" s="49"/>
      <c r="D14" s="52"/>
      <c r="E14" s="48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</row>
    <row r="15" spans="1:20" hidden="1">
      <c r="A15" s="5"/>
      <c r="B15" s="8"/>
      <c r="C15" s="8"/>
      <c r="D15" s="52"/>
      <c r="E15" s="48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</row>
    <row r="16" spans="1:20" hidden="1">
      <c r="A16" s="5"/>
      <c r="B16" s="8"/>
      <c r="C16" s="8"/>
      <c r="D16" s="52"/>
      <c r="E16" s="48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</row>
    <row r="17" spans="1:20" hidden="1">
      <c r="A17" s="5"/>
      <c r="B17" s="8"/>
      <c r="C17" s="8"/>
      <c r="D17" s="52"/>
      <c r="E17" s="48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</row>
    <row r="18" spans="1:20" hidden="1">
      <c r="A18" s="5"/>
      <c r="B18" s="8"/>
      <c r="C18" s="8"/>
      <c r="D18" s="52"/>
      <c r="E18" s="48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</row>
    <row r="19" spans="1:20" hidden="1">
      <c r="A19" s="5"/>
      <c r="B19" s="8"/>
      <c r="C19" s="8"/>
      <c r="D19" s="52"/>
      <c r="E19" s="48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</row>
    <row r="20" spans="1:20" hidden="1">
      <c r="A20" s="5"/>
      <c r="B20" s="8"/>
      <c r="C20" s="8"/>
      <c r="D20" s="52"/>
      <c r="E20" s="48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</row>
    <row r="21" spans="1:20" hidden="1">
      <c r="A21" s="5"/>
      <c r="B21" s="8"/>
      <c r="C21" s="8"/>
      <c r="D21" s="52"/>
      <c r="E21" s="48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</row>
    <row r="22" spans="1:20" hidden="1">
      <c r="A22" s="5"/>
      <c r="B22" s="8"/>
      <c r="C22" s="8"/>
      <c r="D22" s="52"/>
      <c r="E22" s="48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</row>
    <row r="23" spans="1:20" hidden="1">
      <c r="A23" s="5"/>
      <c r="B23" s="8"/>
      <c r="C23" s="8"/>
      <c r="D23" s="52"/>
      <c r="E23" s="48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</row>
    <row r="24" spans="1:20" hidden="1">
      <c r="A24" s="5"/>
      <c r="B24" s="8"/>
      <c r="C24" s="8"/>
      <c r="D24" s="52"/>
      <c r="E24" s="48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</row>
    <row r="25" spans="1:20" hidden="1">
      <c r="A25" s="5"/>
      <c r="B25" s="8"/>
      <c r="C25" s="8"/>
      <c r="D25" s="52"/>
      <c r="E25" s="48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</row>
    <row r="26" spans="1:20" hidden="1">
      <c r="A26" s="5"/>
      <c r="B26" s="8"/>
      <c r="C26" s="8"/>
      <c r="D26" s="52"/>
      <c r="E26" s="48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</row>
    <row r="27" spans="1:20" hidden="1">
      <c r="A27" s="5"/>
      <c r="B27" s="8"/>
      <c r="C27" s="8"/>
      <c r="D27" s="52"/>
      <c r="E27" s="48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</row>
    <row r="28" spans="1:20" hidden="1">
      <c r="B28" s="4"/>
      <c r="C28" s="4"/>
      <c r="D28" s="52"/>
      <c r="E28" s="4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</row>
    <row r="29" spans="1:20" hidden="1">
      <c r="B29" s="4"/>
      <c r="C29" s="4"/>
      <c r="D29" s="52"/>
      <c r="E29" s="48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</row>
    <row r="30" spans="1:20" hidden="1">
      <c r="B30" s="4"/>
      <c r="C30" s="4"/>
      <c r="D30" s="52"/>
      <c r="E30" s="48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</row>
    <row r="31" spans="1:20" hidden="1">
      <c r="B31" s="4"/>
      <c r="C31" s="4"/>
      <c r="D31" s="52"/>
      <c r="E31" s="48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</row>
    <row r="32" spans="1:20" hidden="1">
      <c r="B32" s="4"/>
      <c r="C32" s="4"/>
      <c r="D32" s="52"/>
      <c r="E32" s="48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</row>
    <row r="33" spans="2:20" hidden="1">
      <c r="B33" s="4"/>
      <c r="C33" s="4"/>
      <c r="D33" s="52"/>
      <c r="E33" s="48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</row>
    <row r="34" spans="2:20" hidden="1">
      <c r="B34" s="4"/>
      <c r="C34" s="4"/>
      <c r="D34" s="52"/>
      <c r="E34" s="48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</row>
    <row r="35" spans="2:20" hidden="1">
      <c r="B35" s="4"/>
      <c r="C35" s="4"/>
      <c r="D35" s="52"/>
      <c r="E35" s="48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</row>
    <row r="36" spans="2:20" hidden="1">
      <c r="B36" s="4"/>
      <c r="C36" s="4"/>
      <c r="D36" s="52"/>
      <c r="E36" s="48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</row>
    <row r="37" spans="2:20" hidden="1">
      <c r="B37" s="4"/>
      <c r="C37" s="4"/>
      <c r="D37" s="52"/>
      <c r="E37" s="48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</row>
    <row r="38" spans="2:20" hidden="1">
      <c r="B38" s="4"/>
      <c r="C38" s="4"/>
      <c r="D38" s="52"/>
      <c r="E38" s="48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</row>
    <row r="39" spans="2:20" hidden="1">
      <c r="B39" s="4"/>
      <c r="C39" s="4"/>
      <c r="D39" s="52"/>
      <c r="E39" s="48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</row>
    <row r="40" spans="2:20" hidden="1">
      <c r="B40" s="4"/>
      <c r="C40" s="4"/>
      <c r="D40" s="52"/>
      <c r="E40" s="48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</row>
    <row r="41" spans="2:20" hidden="1">
      <c r="B41" s="4"/>
      <c r="C41" s="4"/>
      <c r="D41" s="52"/>
      <c r="E41" s="48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</row>
    <row r="42" spans="2:20" hidden="1">
      <c r="B42" s="4"/>
      <c r="C42" s="4"/>
      <c r="D42" s="52"/>
      <c r="E42" s="48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</row>
    <row r="43" spans="2:20" hidden="1">
      <c r="B43" s="4"/>
      <c r="C43" s="4"/>
      <c r="D43" s="52"/>
      <c r="E43" s="48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</row>
    <row r="44" spans="2:20" hidden="1">
      <c r="B44" s="4"/>
      <c r="C44" s="4"/>
      <c r="D44" s="52"/>
      <c r="E44" s="48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</row>
    <row r="45" spans="2:20" hidden="1">
      <c r="B45" s="4"/>
      <c r="C45" s="4"/>
      <c r="D45" s="52"/>
      <c r="E45" s="48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</row>
    <row r="46" spans="2:20" hidden="1">
      <c r="B46" s="4"/>
      <c r="C46" s="4"/>
      <c r="D46" s="52"/>
      <c r="E46" s="48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</row>
    <row r="47" spans="2:20" hidden="1">
      <c r="B47" s="4"/>
      <c r="C47" s="4"/>
      <c r="D47" s="52"/>
      <c r="E47" s="48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</row>
    <row r="48" spans="2:20" hidden="1">
      <c r="B48" s="4"/>
      <c r="C48" s="4"/>
      <c r="D48" s="52"/>
      <c r="E48" s="48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</row>
    <row r="49" spans="2:20" hidden="1">
      <c r="B49" s="4"/>
      <c r="C49" s="4"/>
      <c r="D49" s="52"/>
      <c r="E49" s="48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</row>
    <row r="50" spans="2:20" hidden="1">
      <c r="B50" s="4"/>
      <c r="C50" s="4"/>
      <c r="D50" s="52"/>
      <c r="E50" s="48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</row>
    <row r="51" spans="2:20" hidden="1">
      <c r="B51" s="4"/>
      <c r="C51" s="4"/>
      <c r="D51" s="52"/>
      <c r="E51" s="48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</row>
    <row r="52" spans="2:20" hidden="1">
      <c r="B52" s="4"/>
      <c r="C52" s="4"/>
      <c r="D52" s="52"/>
      <c r="E52" s="48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</row>
    <row r="53" spans="2:20" hidden="1">
      <c r="B53" s="4"/>
      <c r="C53" s="4"/>
      <c r="D53" s="52"/>
      <c r="E53" s="48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</row>
    <row r="54" spans="2:20" hidden="1">
      <c r="B54" s="4"/>
      <c r="C54" s="4"/>
      <c r="D54" s="52"/>
      <c r="E54" s="48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</row>
    <row r="55" spans="2:20" hidden="1">
      <c r="B55" s="4"/>
      <c r="C55" s="4"/>
      <c r="D55" s="52"/>
      <c r="E55" s="48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</row>
    <row r="56" spans="2:20" hidden="1">
      <c r="B56" s="4"/>
      <c r="C56" s="4"/>
      <c r="D56" s="52"/>
      <c r="E56" s="48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</row>
    <row r="57" spans="2:20" hidden="1">
      <c r="B57" s="4"/>
      <c r="C57" s="4"/>
      <c r="D57" s="52"/>
      <c r="E57" s="48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</row>
    <row r="58" spans="2:20" hidden="1">
      <c r="B58" s="4"/>
      <c r="C58" s="4"/>
      <c r="D58" s="52"/>
      <c r="E58" s="48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</row>
    <row r="59" spans="2:20" hidden="1">
      <c r="B59" s="4"/>
      <c r="C59" s="4"/>
      <c r="D59" s="52"/>
      <c r="E59" s="48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</row>
    <row r="60" spans="2:20" hidden="1">
      <c r="B60" s="4"/>
      <c r="C60" s="4"/>
      <c r="D60" s="52"/>
      <c r="E60" s="48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</row>
    <row r="61" spans="2:20" hidden="1">
      <c r="B61" s="4"/>
      <c r="C61" s="4"/>
      <c r="D61" s="52"/>
      <c r="E61" s="48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</row>
    <row r="62" spans="2:20" hidden="1">
      <c r="B62" s="4"/>
      <c r="C62" s="4"/>
      <c r="D62" s="52"/>
      <c r="E62" s="48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</row>
    <row r="63" spans="2:20" hidden="1">
      <c r="B63" s="4"/>
      <c r="C63" s="4"/>
      <c r="D63" s="52"/>
      <c r="E63" s="48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</row>
    <row r="64" spans="2:20" hidden="1">
      <c r="B64" s="4"/>
      <c r="C64" s="4"/>
      <c r="D64" s="52"/>
      <c r="E64" s="48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</row>
    <row r="65" spans="2:20" hidden="1">
      <c r="B65" s="4"/>
      <c r="C65" s="4"/>
      <c r="D65" s="52"/>
      <c r="E65" s="48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</row>
    <row r="66" spans="2:20" hidden="1"/>
    <row r="67" spans="2:20" hidden="1"/>
  </sheetData>
  <mergeCells count="11">
    <mergeCell ref="A11:B11"/>
    <mergeCell ref="A1:B1"/>
    <mergeCell ref="A2:B2"/>
    <mergeCell ref="A3:B3"/>
    <mergeCell ref="A4:B4"/>
    <mergeCell ref="A10:B10"/>
    <mergeCell ref="A9:B9"/>
    <mergeCell ref="A5:B5"/>
    <mergeCell ref="A7:B7"/>
    <mergeCell ref="A6:B6"/>
    <mergeCell ref="A8:B8"/>
  </mergeCells>
  <dataValidations count="3">
    <dataValidation type="list" allowBlank="1" showInputMessage="1" showErrorMessage="1" sqref="C2">
      <formula1>"1,2,4,9,12,18,24,26,52"</formula1>
    </dataValidation>
    <dataValidation type="whole" allowBlank="1" showInputMessage="1" showErrorMessage="1" errorTitle="Wrong Face Amount" error="Face Amount should be between $5,000 and $150,000." sqref="C3">
      <formula1>5000</formula1>
      <formula2>150000</formula2>
    </dataValidation>
    <dataValidation type="list" allowBlank="1" showInputMessage="1" showErrorMessage="1" sqref="C5 C7">
      <formula1>"Yes, No"</formula1>
    </dataValidation>
  </dataValidations>
  <pageMargins left="0.7" right="0.7" top="0.75" bottom="0.75" header="0.3" footer="0.3"/>
  <pageSetup orientation="portrait"/>
  <headerFooter>
    <oddFooter>&amp;L&amp;"museo sans for dell,Bold"&amp;KAAAAAA                 Dell - Critical Handling - Confidential - Privileged</oddFooter>
    <evenFooter>&amp;L&amp;"museo sans for dell,Bold"&amp;KAAAAAA                 Dell - Critical Handling - Confidential - Privileged</evenFooter>
    <firstFooter>&amp;L&amp;"museo sans for dell,Bold"&amp;KAAAAAA                 Dell - Critical Handling - Confidential - Privileged</first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Rates!$F$4:$F$74</xm:f>
          </x14:formula1>
          <xm:sqref>C4</xm:sqref>
        </x14:dataValidation>
        <x14:dataValidation type="list" allowBlank="1" showInputMessage="1" showErrorMessage="1">
          <x14:formula1>
            <xm:f>Rates!$A$2:$A$43</xm:f>
          </x14:formula1>
          <xm:sqref>C1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P73"/>
  <sheetViews>
    <sheetView workbookViewId="0">
      <selection activeCell="C7" sqref="C7"/>
    </sheetView>
  </sheetViews>
  <sheetFormatPr baseColWidth="10" defaultColWidth="0" defaultRowHeight="14" zeroHeight="1" x14ac:dyDescent="0"/>
  <cols>
    <col min="1" max="1" width="8.83203125" style="1" customWidth="1"/>
    <col min="2" max="2" width="16.6640625" style="1" customWidth="1"/>
    <col min="3" max="3" width="28.6640625" style="1" customWidth="1"/>
    <col min="4" max="4" width="2" style="1" customWidth="1"/>
    <col min="5" max="11" width="2" style="1" hidden="1" customWidth="1"/>
    <col min="12" max="16" width="0" style="1" hidden="1" customWidth="1"/>
    <col min="17" max="16384" width="2" style="1" hidden="1"/>
  </cols>
  <sheetData>
    <row r="1" spans="1:16" ht="21.75" customHeight="1">
      <c r="A1" s="137" t="s">
        <v>8</v>
      </c>
      <c r="B1" s="143"/>
      <c r="C1" s="60" t="s">
        <v>18</v>
      </c>
      <c r="D1" s="30"/>
    </row>
    <row r="2" spans="1:16" ht="21.75" customHeight="1">
      <c r="A2" s="139" t="s">
        <v>2</v>
      </c>
      <c r="B2" s="141"/>
      <c r="C2" s="61">
        <v>12</v>
      </c>
      <c r="D2" s="30"/>
    </row>
    <row r="3" spans="1:16" ht="21.75" customHeight="1">
      <c r="A3" s="139" t="s">
        <v>9</v>
      </c>
      <c r="B3" s="141"/>
      <c r="C3" s="62">
        <v>47.83</v>
      </c>
      <c r="D3" s="30"/>
      <c r="L3" s="10"/>
      <c r="M3" s="10"/>
      <c r="N3" s="10"/>
      <c r="O3" s="10"/>
      <c r="P3" s="10"/>
    </row>
    <row r="4" spans="1:16" ht="21.75" customHeight="1">
      <c r="A4" s="139" t="s">
        <v>0</v>
      </c>
      <c r="B4" s="141"/>
      <c r="C4" s="61">
        <v>61</v>
      </c>
      <c r="D4" s="30"/>
    </row>
    <row r="5" spans="1:16" ht="21.75" customHeight="1">
      <c r="A5" s="139" t="s">
        <v>27</v>
      </c>
      <c r="B5" s="141"/>
      <c r="C5" s="61" t="s">
        <v>22</v>
      </c>
      <c r="D5" s="30"/>
    </row>
    <row r="6" spans="1:16" ht="21.75" customHeight="1">
      <c r="A6" s="139" t="s">
        <v>26</v>
      </c>
      <c r="B6" s="141"/>
      <c r="C6" s="63" t="str">
        <f>IF(AND($C$5="Yes",ISNA(VLOOKUP(Plan, Table, 2, FALSE))),"Not Available", IF(OR($C$5&lt;&gt;"Yes",$C$4&lt;18, $C$4&gt;55), "", VLOOKUP($C$4, WaiverOfPremiumRate, MATCH(VLOOKUP(Plan, Table, 2, FALSE),WOPRatekey, FALSE)+1, FALSE)))</f>
        <v/>
      </c>
      <c r="D6" s="30"/>
    </row>
    <row r="7" spans="1:16" ht="21.75" customHeight="1">
      <c r="A7" s="139" t="s">
        <v>29</v>
      </c>
      <c r="B7" s="141"/>
      <c r="C7" s="61" t="s">
        <v>23</v>
      </c>
      <c r="D7" s="30"/>
    </row>
    <row r="8" spans="1:16" ht="21.75" customHeight="1">
      <c r="A8" s="139" t="s">
        <v>28</v>
      </c>
      <c r="B8" s="141"/>
      <c r="C8" s="63">
        <f>IF(AND($C$7="Yes",ISNA(VLOOKUP(Plan, Table, 3, FALSE))),"Not Available", IF(OR($C$7&lt;&gt;"Yes",$C$4&lt;18, $C$4&gt;65, ISNA(VLOOKUP(Plan, Table, 3, FALSE))), "", VLOOKUP($C$4, QualityofLifeRiderRate, MATCH(VLOOKUP(Plan, Table, 3, FALSE),RiderRatekey, FALSE)+1, FALSE)))</f>
        <v>2.04</v>
      </c>
      <c r="D8" s="30"/>
    </row>
    <row r="9" spans="1:16" ht="21.75" customHeight="1">
      <c r="A9" s="139" t="s">
        <v>24</v>
      </c>
      <c r="B9" s="141"/>
      <c r="C9" s="63">
        <f>IF(VLOOKUP($C$4,PremiumRate,MATCH(VLOOKUP(Plan, Table, 4, FALSE),PremiumRatekey,FALSE)+1,FALSE)="", "Check Plan or Age", VLOOKUP($C$4,PremiumRate,MATCH(VLOOKUP(Plan, Table, 4, FALSE),PremiumRatekey,FALSE)+1,FALSE))</f>
        <v>31.68</v>
      </c>
      <c r="D9" s="30"/>
      <c r="L9" s="10"/>
      <c r="M9" s="11"/>
      <c r="N9" s="10"/>
      <c r="O9" s="11"/>
      <c r="P9" s="10"/>
    </row>
    <row r="10" spans="1:16" ht="21.75" customHeight="1">
      <c r="A10" s="139" t="s">
        <v>1</v>
      </c>
      <c r="B10" s="141"/>
      <c r="C10" s="64">
        <f>IF($C$9="Check Plan or Age", "Check Plan or Age", IF(OR(VLOOKUP(Plan, Table, 4, FALSE)={"CHILD","CH0611","CHILDG"}), 0, 52))</f>
        <v>52</v>
      </c>
      <c r="D10" s="30"/>
    </row>
    <row r="11" spans="1:16" ht="21.75" customHeight="1">
      <c r="A11" s="135" t="s">
        <v>10</v>
      </c>
      <c r="B11" s="142"/>
      <c r="C11" s="15">
        <f>IF($C$9="Check Plan or Age", "Check Plan or Age", IF(ROUND((($C$3*mode-$C$10)*1000)/($C$9+IF(AND($C$6&lt;&gt;{"Not Available",""}), $C$6, 0)+IF(AND($C$8&lt;&gt;{"Not Available",""}), $C$8, 0)),0)&lt;5000, "Need More Premium", IF(ROUND((($C$3*mode-$C$10)*1000)/($C$9+IF(AND($C$6&lt;&gt;{"Not Available",""}), $C$6, 0)+IF(AND($C$8&lt;&gt;{"Not Available",""}), $C$8, 0)),0)&gt;150000,"Premium is Too High",ROUND((($C$3*mode-$C$10)*1000)/($C$9+IF(AND($C$6&lt;&gt;{"Not Available",""}), $C$6, 0)+IF(AND($C$8&lt;&gt;{"Not Available",""}), $C$8, 0)),0))))</f>
        <v>15479</v>
      </c>
      <c r="D11" s="30"/>
      <c r="L11" s="10"/>
      <c r="M11" s="10"/>
      <c r="N11" s="10"/>
      <c r="O11" s="10"/>
    </row>
    <row r="12" spans="1:16" ht="10.5" customHeight="1">
      <c r="A12" s="31"/>
      <c r="B12" s="31"/>
      <c r="C12" s="31"/>
      <c r="D12" s="30"/>
    </row>
    <row r="13" spans="1:16" hidden="1">
      <c r="A13" s="14"/>
      <c r="B13" s="14"/>
      <c r="C13" s="14"/>
      <c r="L13" s="10"/>
      <c r="M13" s="10"/>
      <c r="N13" s="10"/>
      <c r="O13" s="10"/>
    </row>
    <row r="14" spans="1:16" hidden="1">
      <c r="A14" s="6"/>
      <c r="B14" s="6"/>
      <c r="C14" s="6"/>
      <c r="D14" s="5"/>
      <c r="E14" s="5"/>
    </row>
    <row r="15" spans="1:16" hidden="1">
      <c r="A15" s="3"/>
      <c r="B15" s="3"/>
      <c r="C15" s="3"/>
      <c r="D15" s="3"/>
      <c r="E15" s="5"/>
    </row>
    <row r="16" spans="1:16" hidden="1">
      <c r="A16" s="5"/>
      <c r="B16" s="8"/>
      <c r="C16" s="8"/>
      <c r="D16" s="5"/>
      <c r="E16" s="5"/>
    </row>
    <row r="17" spans="1:5" hidden="1">
      <c r="A17" s="5"/>
      <c r="B17" s="8"/>
      <c r="C17" s="8"/>
      <c r="D17" s="5"/>
      <c r="E17" s="5"/>
    </row>
    <row r="18" spans="1:5" hidden="1">
      <c r="A18" s="5"/>
      <c r="B18" s="8"/>
      <c r="C18" s="8"/>
      <c r="D18" s="5"/>
      <c r="E18" s="5"/>
    </row>
    <row r="19" spans="1:5" hidden="1">
      <c r="A19" s="5"/>
      <c r="B19" s="8"/>
      <c r="C19" s="8"/>
      <c r="D19" s="5"/>
      <c r="E19" s="5"/>
    </row>
    <row r="20" spans="1:5" hidden="1">
      <c r="A20" s="5"/>
      <c r="B20" s="8"/>
      <c r="C20" s="8"/>
      <c r="D20" s="5"/>
      <c r="E20" s="5"/>
    </row>
    <row r="21" spans="1:5" hidden="1">
      <c r="A21" s="5"/>
      <c r="B21" s="8"/>
      <c r="C21" s="8"/>
      <c r="D21" s="5"/>
      <c r="E21" s="5"/>
    </row>
    <row r="22" spans="1:5" hidden="1">
      <c r="A22" s="5"/>
      <c r="B22" s="8"/>
      <c r="C22" s="8"/>
      <c r="D22" s="5"/>
      <c r="E22" s="5"/>
    </row>
    <row r="23" spans="1:5" hidden="1">
      <c r="A23" s="5"/>
      <c r="B23" s="8"/>
      <c r="C23" s="8"/>
      <c r="D23" s="5"/>
      <c r="E23" s="5"/>
    </row>
    <row r="24" spans="1:5" hidden="1">
      <c r="A24" s="5"/>
      <c r="B24" s="8"/>
      <c r="C24" s="8"/>
      <c r="D24" s="5"/>
      <c r="E24" s="5"/>
    </row>
    <row r="25" spans="1:5" hidden="1">
      <c r="A25" s="5"/>
      <c r="B25" s="8"/>
      <c r="C25" s="8"/>
      <c r="D25" s="5"/>
      <c r="E25" s="5"/>
    </row>
    <row r="26" spans="1:5" hidden="1">
      <c r="A26" s="5"/>
      <c r="B26" s="8"/>
      <c r="C26" s="8"/>
      <c r="D26" s="5"/>
      <c r="E26" s="5"/>
    </row>
    <row r="27" spans="1:5" hidden="1">
      <c r="A27" s="5"/>
      <c r="B27" s="8"/>
      <c r="C27" s="8"/>
      <c r="D27" s="5"/>
      <c r="E27" s="5"/>
    </row>
    <row r="28" spans="1:5" hidden="1">
      <c r="A28" s="5"/>
      <c r="B28" s="8"/>
      <c r="C28" s="8"/>
      <c r="D28" s="5"/>
      <c r="E28" s="5"/>
    </row>
    <row r="29" spans="1:5" hidden="1">
      <c r="A29" s="5"/>
      <c r="B29" s="8"/>
      <c r="C29" s="8"/>
      <c r="D29" s="5"/>
      <c r="E29" s="5"/>
    </row>
    <row r="30" spans="1:5" hidden="1">
      <c r="A30" s="5"/>
      <c r="B30" s="8"/>
      <c r="C30" s="8"/>
      <c r="D30" s="5"/>
      <c r="E30" s="5"/>
    </row>
    <row r="31" spans="1:5" hidden="1">
      <c r="A31" s="5"/>
      <c r="B31" s="8"/>
      <c r="C31" s="8"/>
      <c r="D31" s="5"/>
      <c r="E31" s="5"/>
    </row>
    <row r="32" spans="1:5" hidden="1">
      <c r="A32" s="5"/>
      <c r="B32" s="8"/>
      <c r="C32" s="8"/>
      <c r="D32" s="5"/>
      <c r="E32" s="5"/>
    </row>
    <row r="33" spans="1:5" hidden="1">
      <c r="A33" s="5"/>
      <c r="B33" s="8"/>
      <c r="C33" s="8"/>
      <c r="D33" s="5"/>
      <c r="E33" s="5"/>
    </row>
    <row r="34" spans="1:5" hidden="1">
      <c r="A34" s="5"/>
      <c r="B34" s="8"/>
      <c r="C34" s="8"/>
      <c r="D34" s="5"/>
      <c r="E34" s="5"/>
    </row>
    <row r="35" spans="1:5" hidden="1">
      <c r="A35" s="5"/>
      <c r="B35" s="8"/>
      <c r="C35" s="8"/>
      <c r="D35" s="5"/>
      <c r="E35" s="5"/>
    </row>
    <row r="36" spans="1:5" hidden="1">
      <c r="A36" s="5"/>
      <c r="B36" s="8"/>
      <c r="C36" s="8"/>
      <c r="D36" s="5"/>
      <c r="E36" s="5"/>
    </row>
    <row r="37" spans="1:5" hidden="1">
      <c r="A37" s="5"/>
      <c r="B37" s="8"/>
      <c r="C37" s="8"/>
      <c r="D37" s="5"/>
      <c r="E37" s="5"/>
    </row>
    <row r="38" spans="1:5" hidden="1">
      <c r="A38" s="5"/>
      <c r="B38" s="8"/>
      <c r="C38" s="8"/>
      <c r="D38" s="5"/>
      <c r="E38" s="5"/>
    </row>
    <row r="39" spans="1:5" hidden="1">
      <c r="A39" s="5"/>
      <c r="B39" s="8"/>
      <c r="C39" s="8"/>
      <c r="D39" s="5"/>
      <c r="E39" s="5"/>
    </row>
    <row r="40" spans="1:5" hidden="1">
      <c r="A40" s="5"/>
      <c r="B40" s="8"/>
      <c r="C40" s="8"/>
      <c r="D40" s="5"/>
      <c r="E40" s="5"/>
    </row>
    <row r="41" spans="1:5" hidden="1">
      <c r="A41" s="5"/>
      <c r="B41" s="8"/>
      <c r="C41" s="8"/>
      <c r="D41" s="5"/>
      <c r="E41" s="5"/>
    </row>
    <row r="42" spans="1:5" hidden="1">
      <c r="A42" s="5"/>
      <c r="B42" s="8"/>
      <c r="C42" s="8"/>
      <c r="D42" s="5"/>
      <c r="E42" s="5"/>
    </row>
    <row r="43" spans="1:5" hidden="1">
      <c r="A43" s="5"/>
      <c r="B43" s="8"/>
      <c r="C43" s="8"/>
      <c r="D43" s="5"/>
      <c r="E43" s="5"/>
    </row>
    <row r="44" spans="1:5" hidden="1">
      <c r="A44" s="5"/>
      <c r="B44" s="8"/>
      <c r="C44" s="8"/>
      <c r="D44" s="5"/>
      <c r="E44" s="5"/>
    </row>
    <row r="45" spans="1:5" hidden="1">
      <c r="A45" s="5"/>
      <c r="B45" s="8"/>
      <c r="C45" s="8"/>
      <c r="D45" s="5"/>
      <c r="E45" s="5"/>
    </row>
    <row r="46" spans="1:5" hidden="1">
      <c r="A46" s="5"/>
      <c r="B46" s="8"/>
      <c r="C46" s="8"/>
      <c r="D46" s="5"/>
      <c r="E46" s="5"/>
    </row>
    <row r="47" spans="1:5" hidden="1">
      <c r="A47" s="5"/>
      <c r="B47" s="8"/>
      <c r="C47" s="8"/>
      <c r="D47" s="5"/>
      <c r="E47" s="5"/>
    </row>
    <row r="48" spans="1:5" hidden="1">
      <c r="A48" s="5"/>
      <c r="B48" s="8"/>
      <c r="C48" s="8"/>
      <c r="D48" s="5"/>
      <c r="E48" s="5"/>
    </row>
    <row r="49" spans="1:5" hidden="1">
      <c r="A49" s="5"/>
      <c r="B49" s="8"/>
      <c r="C49" s="8"/>
      <c r="D49" s="5"/>
      <c r="E49" s="5"/>
    </row>
    <row r="50" spans="1:5" hidden="1">
      <c r="A50" s="5"/>
      <c r="B50" s="8"/>
      <c r="C50" s="8"/>
      <c r="D50" s="5"/>
      <c r="E50" s="5"/>
    </row>
    <row r="51" spans="1:5" hidden="1">
      <c r="A51" s="5"/>
      <c r="B51" s="8"/>
      <c r="C51" s="8"/>
      <c r="D51" s="5"/>
      <c r="E51" s="5"/>
    </row>
    <row r="52" spans="1:5" hidden="1">
      <c r="A52" s="5"/>
      <c r="B52" s="8"/>
      <c r="C52" s="8"/>
      <c r="D52" s="5"/>
      <c r="E52" s="5"/>
    </row>
    <row r="53" spans="1:5" hidden="1">
      <c r="A53" s="5"/>
      <c r="B53" s="8"/>
      <c r="C53" s="8"/>
      <c r="D53" s="5"/>
      <c r="E53" s="5"/>
    </row>
    <row r="54" spans="1:5" hidden="1">
      <c r="A54" s="5"/>
      <c r="B54" s="8"/>
      <c r="C54" s="8"/>
      <c r="D54" s="5"/>
      <c r="E54" s="5"/>
    </row>
    <row r="55" spans="1:5" hidden="1">
      <c r="A55" s="5"/>
      <c r="B55" s="8"/>
      <c r="C55" s="8"/>
      <c r="D55" s="5"/>
      <c r="E55" s="5"/>
    </row>
    <row r="56" spans="1:5" hidden="1">
      <c r="A56" s="5"/>
      <c r="B56" s="8"/>
      <c r="C56" s="8"/>
      <c r="D56" s="5"/>
      <c r="E56" s="5"/>
    </row>
    <row r="57" spans="1:5" hidden="1">
      <c r="A57" s="5"/>
      <c r="B57" s="8"/>
      <c r="C57" s="8"/>
      <c r="D57" s="5"/>
      <c r="E57" s="5"/>
    </row>
    <row r="58" spans="1:5" hidden="1">
      <c r="A58" s="5"/>
      <c r="B58" s="8"/>
      <c r="C58" s="8"/>
      <c r="D58" s="5"/>
      <c r="E58" s="5"/>
    </row>
    <row r="59" spans="1:5" hidden="1">
      <c r="A59" s="5"/>
      <c r="B59" s="8"/>
      <c r="C59" s="8"/>
      <c r="D59" s="5"/>
      <c r="E59" s="5"/>
    </row>
    <row r="60" spans="1:5" hidden="1">
      <c r="A60" s="5"/>
      <c r="B60" s="8"/>
      <c r="C60" s="8"/>
      <c r="D60" s="5"/>
      <c r="E60" s="5"/>
    </row>
    <row r="61" spans="1:5" hidden="1">
      <c r="A61" s="5"/>
      <c r="B61" s="8"/>
      <c r="C61" s="8"/>
      <c r="D61" s="5"/>
      <c r="E61" s="5"/>
    </row>
    <row r="62" spans="1:5" hidden="1">
      <c r="A62" s="5"/>
      <c r="B62" s="8"/>
      <c r="C62" s="8"/>
      <c r="D62" s="5"/>
      <c r="E62" s="5"/>
    </row>
    <row r="63" spans="1:5" hidden="1">
      <c r="A63" s="5"/>
      <c r="B63" s="8"/>
      <c r="C63" s="8"/>
      <c r="D63" s="5"/>
      <c r="E63" s="5"/>
    </row>
    <row r="64" spans="1:5" hidden="1">
      <c r="A64" s="5"/>
      <c r="B64" s="8"/>
      <c r="C64" s="8"/>
      <c r="D64" s="5"/>
      <c r="E64" s="5"/>
    </row>
    <row r="65" spans="1:5" hidden="1">
      <c r="A65" s="5"/>
      <c r="B65" s="8"/>
      <c r="C65" s="8"/>
      <c r="D65" s="5"/>
      <c r="E65" s="5"/>
    </row>
    <row r="66" spans="1:5" hidden="1">
      <c r="A66" s="5"/>
      <c r="B66" s="8"/>
      <c r="C66" s="8"/>
      <c r="D66" s="5"/>
      <c r="E66" s="5"/>
    </row>
    <row r="67" spans="1:5" hidden="1">
      <c r="A67" s="5"/>
      <c r="B67" s="8"/>
      <c r="C67" s="8"/>
      <c r="D67" s="5"/>
      <c r="E67" s="5"/>
    </row>
    <row r="68" spans="1:5" hidden="1">
      <c r="A68" s="5"/>
      <c r="B68" s="8"/>
      <c r="C68" s="8"/>
      <c r="D68" s="5"/>
      <c r="E68" s="5"/>
    </row>
    <row r="69" spans="1:5" hidden="1">
      <c r="A69" s="5"/>
      <c r="B69" s="5"/>
      <c r="C69" s="5"/>
      <c r="D69" s="5"/>
      <c r="E69" s="5"/>
    </row>
    <row r="70" spans="1:5" hidden="1">
      <c r="A70" s="5"/>
      <c r="B70" s="5"/>
      <c r="C70" s="5"/>
      <c r="D70" s="5"/>
      <c r="E70" s="5"/>
    </row>
    <row r="71" spans="1:5" hidden="1">
      <c r="A71" s="5"/>
      <c r="B71" s="5"/>
      <c r="C71" s="5"/>
      <c r="D71" s="5"/>
      <c r="E71" s="5"/>
    </row>
    <row r="72" spans="1:5" hidden="1">
      <c r="A72" s="5"/>
      <c r="B72" s="5"/>
      <c r="C72" s="5"/>
      <c r="D72" s="5"/>
      <c r="E72" s="5"/>
    </row>
    <row r="73" spans="1:5" hidden="1">
      <c r="A73" s="5"/>
      <c r="B73" s="5"/>
      <c r="C73" s="5"/>
      <c r="D73" s="5"/>
      <c r="E73" s="5"/>
    </row>
  </sheetData>
  <dataConsolidate/>
  <mergeCells count="11">
    <mergeCell ref="A10:B10"/>
    <mergeCell ref="A11:B11"/>
    <mergeCell ref="A3:B3"/>
    <mergeCell ref="A1:B1"/>
    <mergeCell ref="A2:B2"/>
    <mergeCell ref="A4:B4"/>
    <mergeCell ref="A9:B9"/>
    <mergeCell ref="A5:B5"/>
    <mergeCell ref="A6:B6"/>
    <mergeCell ref="A7:B7"/>
    <mergeCell ref="A8:B8"/>
  </mergeCells>
  <dataValidations count="2">
    <dataValidation type="list" allowBlank="1" showInputMessage="1" showErrorMessage="1" errorTitle="Enter Premium in Cell C3" sqref="C2">
      <formula1>"1,2,4,9,12,18,24,26, 52"</formula1>
    </dataValidation>
    <dataValidation type="list" allowBlank="1" showInputMessage="1" showErrorMessage="1" sqref="C5 C7">
      <formula1>"Yes, No"</formula1>
    </dataValidation>
  </dataValidations>
  <pageMargins left="0.7" right="0.7" top="0.75" bottom="0.75" header="0.3" footer="0.3"/>
  <pageSetup orientation="portrait"/>
  <headerFooter>
    <oddFooter>&amp;L&amp;"museo sans for dell,Bold"&amp;KAAAAAA                 Dell - Critical Handling - Confidential - Privileged</oddFooter>
    <evenFooter>&amp;L&amp;"museo sans for dell,Bold"&amp;KAAAAAA                 Dell - Critical Handling - Confidential - Privileged</evenFooter>
    <firstFooter>&amp;L&amp;"museo sans for dell,Bold"&amp;KAAAAAA                 Dell - Critical Handling - Confidential - Privileged</first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Rates!$F$4:$F$74</xm:f>
          </x14:formula1>
          <xm:sqref>C4</xm:sqref>
        </x14:dataValidation>
        <x14:dataValidation type="list" allowBlank="1" showInputMessage="1" showErrorMessage="1">
          <x14:formula1>
            <xm:f>Rates!$A$2:$A$43</xm:f>
          </x14:formula1>
          <xm:sqref>C1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A75"/>
  <sheetViews>
    <sheetView workbookViewId="0">
      <selection activeCell="E1" sqref="E1"/>
    </sheetView>
  </sheetViews>
  <sheetFormatPr baseColWidth="10" defaultColWidth="0" defaultRowHeight="14" zeroHeight="1" x14ac:dyDescent="0"/>
  <cols>
    <col min="1" max="1" width="11.83203125" style="45" bestFit="1" customWidth="1"/>
    <col min="2" max="5" width="9.1640625" style="45" customWidth="1"/>
    <col min="6" max="6" width="11.83203125" style="45" bestFit="1" customWidth="1"/>
    <col min="7" max="10" width="11.83203125" style="45" customWidth="1"/>
    <col min="11" max="14" width="9.1640625" style="45" customWidth="1"/>
    <col min="15" max="15" width="10.5" style="45" bestFit="1" customWidth="1"/>
    <col min="16" max="16" width="9.1640625" style="45" customWidth="1"/>
    <col min="17" max="17" width="11.83203125" style="45" bestFit="1" customWidth="1"/>
    <col min="18" max="18" width="11.83203125" style="45" customWidth="1"/>
    <col min="19" max="20" width="9.1640625" style="112" customWidth="1"/>
    <col min="21" max="21" width="9.1640625" style="45" customWidth="1"/>
    <col min="22" max="22" width="13.5" style="45" customWidth="1"/>
    <col min="23" max="23" width="11.5" style="45" customWidth="1"/>
    <col min="24" max="24" width="9.1640625" style="45" customWidth="1"/>
    <col min="25" max="27" width="0" style="45" hidden="1" customWidth="1"/>
    <col min="28" max="16384" width="9.1640625" style="45" hidden="1"/>
  </cols>
  <sheetData>
    <row r="1" spans="1:25" s="1" customFormat="1" ht="15" thickBot="1">
      <c r="A1" s="76" t="s">
        <v>32</v>
      </c>
      <c r="B1" s="98" t="s">
        <v>61</v>
      </c>
      <c r="C1" s="98" t="s">
        <v>62</v>
      </c>
      <c r="D1" s="76" t="s">
        <v>9</v>
      </c>
      <c r="E1" s="111"/>
      <c r="F1" s="147" t="s">
        <v>20</v>
      </c>
      <c r="G1" s="148"/>
      <c r="H1" s="148"/>
      <c r="I1" s="148"/>
      <c r="J1" s="148"/>
      <c r="K1" s="148"/>
      <c r="L1" s="148"/>
      <c r="M1" s="148"/>
      <c r="N1" s="148"/>
      <c r="O1" s="149"/>
      <c r="P1" s="45"/>
      <c r="Q1" s="144" t="s">
        <v>26</v>
      </c>
      <c r="R1" s="145"/>
      <c r="S1" s="145"/>
      <c r="T1" s="146"/>
      <c r="U1" s="45"/>
      <c r="V1" s="144" t="s">
        <v>28</v>
      </c>
      <c r="W1" s="146"/>
      <c r="X1" s="45"/>
    </row>
    <row r="2" spans="1:25" s="1" customFormat="1">
      <c r="A2" s="99" t="s">
        <v>48</v>
      </c>
      <c r="B2" s="100" t="e">
        <v>#N/A</v>
      </c>
      <c r="C2" s="100" t="s">
        <v>64</v>
      </c>
      <c r="D2" s="101" t="s">
        <v>6</v>
      </c>
      <c r="E2" s="45"/>
      <c r="F2" s="80" t="s">
        <v>30</v>
      </c>
      <c r="G2" s="76" t="s">
        <v>77</v>
      </c>
      <c r="H2" s="76" t="s">
        <v>73</v>
      </c>
      <c r="I2" s="76" t="s">
        <v>66</v>
      </c>
      <c r="J2" s="76" t="s">
        <v>74</v>
      </c>
      <c r="K2" s="82" t="s">
        <v>3</v>
      </c>
      <c r="L2" s="82" t="s">
        <v>4</v>
      </c>
      <c r="M2" s="82" t="s">
        <v>5</v>
      </c>
      <c r="N2" s="78" t="s">
        <v>6</v>
      </c>
      <c r="O2" s="78" t="s">
        <v>31</v>
      </c>
      <c r="P2" s="93"/>
      <c r="Q2" s="76" t="s">
        <v>30</v>
      </c>
      <c r="R2" s="76" t="s">
        <v>75</v>
      </c>
      <c r="S2" s="76" t="s">
        <v>60</v>
      </c>
      <c r="T2" s="77" t="s">
        <v>63</v>
      </c>
      <c r="U2" s="45"/>
      <c r="V2" s="76" t="s">
        <v>30</v>
      </c>
      <c r="W2" s="76" t="s">
        <v>64</v>
      </c>
      <c r="X2" s="45"/>
    </row>
    <row r="3" spans="1:25" s="1" customFormat="1" ht="15" thickBot="1">
      <c r="A3" s="102" t="s">
        <v>49</v>
      </c>
      <c r="B3" s="103" t="e">
        <v>#N/A</v>
      </c>
      <c r="C3" s="103" t="s">
        <v>64</v>
      </c>
      <c r="D3" s="104" t="s">
        <v>6</v>
      </c>
      <c r="E3" s="45"/>
      <c r="F3" s="85" t="s">
        <v>21</v>
      </c>
      <c r="G3" s="29" t="s">
        <v>7</v>
      </c>
      <c r="H3" s="29" t="s">
        <v>7</v>
      </c>
      <c r="I3" s="29" t="s">
        <v>7</v>
      </c>
      <c r="J3" s="29" t="s">
        <v>7</v>
      </c>
      <c r="K3" s="85" t="s">
        <v>7</v>
      </c>
      <c r="L3" s="85" t="s">
        <v>7</v>
      </c>
      <c r="M3" s="85" t="s">
        <v>7</v>
      </c>
      <c r="N3" s="81" t="s">
        <v>7</v>
      </c>
      <c r="O3" s="85" t="s">
        <v>7</v>
      </c>
      <c r="P3" s="93"/>
      <c r="Q3" s="28" t="s">
        <v>21</v>
      </c>
      <c r="R3" s="29" t="s">
        <v>7</v>
      </c>
      <c r="S3" s="29" t="s">
        <v>7</v>
      </c>
      <c r="T3" s="29" t="s">
        <v>7</v>
      </c>
      <c r="U3" s="45"/>
      <c r="V3" s="79" t="s">
        <v>21</v>
      </c>
      <c r="W3" s="29" t="s">
        <v>7</v>
      </c>
      <c r="X3" s="45"/>
    </row>
    <row r="4" spans="1:25" s="1" customFormat="1">
      <c r="A4" s="102" t="s">
        <v>37</v>
      </c>
      <c r="B4" s="103" t="e">
        <v>#N/A</v>
      </c>
      <c r="C4" s="103" t="s">
        <v>64</v>
      </c>
      <c r="D4" s="104" t="s">
        <v>31</v>
      </c>
      <c r="E4" s="45"/>
      <c r="F4" s="107">
        <v>0</v>
      </c>
      <c r="G4" s="25">
        <v>5.2</v>
      </c>
      <c r="H4" s="25">
        <v>5.98</v>
      </c>
      <c r="I4" s="25">
        <v>5.98</v>
      </c>
      <c r="J4" s="114"/>
      <c r="K4" s="90"/>
      <c r="L4" s="90"/>
      <c r="M4" s="90"/>
      <c r="N4" s="90"/>
      <c r="O4" s="91"/>
      <c r="P4" s="45"/>
      <c r="Q4" s="22">
        <v>18</v>
      </c>
      <c r="R4" s="25">
        <v>0.19</v>
      </c>
      <c r="S4" s="32">
        <v>0.15</v>
      </c>
      <c r="T4" s="83">
        <v>0.14000000000000001</v>
      </c>
      <c r="U4" s="45"/>
      <c r="V4" s="22">
        <v>18</v>
      </c>
      <c r="W4" s="36">
        <v>0.14000000000000001</v>
      </c>
      <c r="X4" s="45"/>
    </row>
    <row r="5" spans="1:25" s="1" customFormat="1">
      <c r="A5" s="102" t="s">
        <v>38</v>
      </c>
      <c r="B5" s="103" t="e">
        <v>#N/A</v>
      </c>
      <c r="C5" s="103" t="s">
        <v>64</v>
      </c>
      <c r="D5" s="104" t="s">
        <v>31</v>
      </c>
      <c r="E5" s="45"/>
      <c r="F5" s="22">
        <v>1</v>
      </c>
      <c r="G5" s="25">
        <v>5.2</v>
      </c>
      <c r="H5" s="25">
        <v>5.98</v>
      </c>
      <c r="I5" s="25">
        <v>5.98</v>
      </c>
      <c r="J5" s="114"/>
      <c r="K5" s="92"/>
      <c r="L5" s="92"/>
      <c r="M5" s="92"/>
      <c r="N5" s="92"/>
      <c r="O5" s="93"/>
      <c r="P5" s="93"/>
      <c r="Q5" s="23">
        <v>19</v>
      </c>
      <c r="R5" s="25">
        <v>0.19</v>
      </c>
      <c r="S5" s="32">
        <v>0.15</v>
      </c>
      <c r="T5" s="33">
        <v>0.14000000000000001</v>
      </c>
      <c r="U5" s="45"/>
      <c r="V5" s="22">
        <v>19</v>
      </c>
      <c r="W5" s="36">
        <v>0.14000000000000001</v>
      </c>
      <c r="X5" s="113"/>
    </row>
    <row r="6" spans="1:25" s="1" customFormat="1">
      <c r="A6" s="102" t="s">
        <v>39</v>
      </c>
      <c r="B6" s="103" t="e">
        <v>#N/A</v>
      </c>
      <c r="C6" s="103" t="s">
        <v>64</v>
      </c>
      <c r="D6" s="104" t="s">
        <v>31</v>
      </c>
      <c r="E6" s="45"/>
      <c r="F6" s="22">
        <v>2</v>
      </c>
      <c r="G6" s="25">
        <v>5.2</v>
      </c>
      <c r="H6" s="25">
        <v>5.98</v>
      </c>
      <c r="I6" s="25">
        <v>5.98</v>
      </c>
      <c r="J6" s="114"/>
      <c r="K6" s="92"/>
      <c r="L6" s="92"/>
      <c r="M6" s="92"/>
      <c r="N6" s="92"/>
      <c r="O6" s="93"/>
      <c r="P6" s="93"/>
      <c r="Q6" s="23">
        <v>20</v>
      </c>
      <c r="R6" s="25">
        <v>0.19</v>
      </c>
      <c r="S6" s="32">
        <v>0.15</v>
      </c>
      <c r="T6" s="33">
        <v>0.14000000000000001</v>
      </c>
      <c r="U6" s="45"/>
      <c r="V6" s="22">
        <v>20</v>
      </c>
      <c r="W6" s="36">
        <v>0.14000000000000001</v>
      </c>
      <c r="X6" s="113"/>
    </row>
    <row r="7" spans="1:25" s="1" customFormat="1">
      <c r="A7" s="102" t="s">
        <v>40</v>
      </c>
      <c r="B7" s="103" t="e">
        <v>#N/A</v>
      </c>
      <c r="C7" s="103" t="s">
        <v>64</v>
      </c>
      <c r="D7" s="104" t="s">
        <v>31</v>
      </c>
      <c r="E7" s="45"/>
      <c r="F7" s="22">
        <v>3</v>
      </c>
      <c r="G7" s="25">
        <v>5.2</v>
      </c>
      <c r="H7" s="25">
        <v>5.98</v>
      </c>
      <c r="I7" s="25">
        <v>5.98</v>
      </c>
      <c r="J7" s="114"/>
      <c r="K7" s="92"/>
      <c r="L7" s="92"/>
      <c r="M7" s="92"/>
      <c r="N7" s="92"/>
      <c r="O7" s="93"/>
      <c r="P7" s="93"/>
      <c r="Q7" s="23">
        <v>21</v>
      </c>
      <c r="R7" s="25">
        <v>0.19</v>
      </c>
      <c r="S7" s="32">
        <v>0.15</v>
      </c>
      <c r="T7" s="33">
        <v>0.14000000000000001</v>
      </c>
      <c r="U7" s="45"/>
      <c r="V7" s="22">
        <v>21</v>
      </c>
      <c r="W7" s="36">
        <v>0.14000000000000001</v>
      </c>
      <c r="X7" s="113"/>
    </row>
    <row r="8" spans="1:25" s="1" customFormat="1">
      <c r="A8" s="102" t="s">
        <v>41</v>
      </c>
      <c r="B8" s="103" t="e">
        <v>#N/A</v>
      </c>
      <c r="C8" s="103" t="s">
        <v>64</v>
      </c>
      <c r="D8" s="104" t="s">
        <v>31</v>
      </c>
      <c r="E8" s="45"/>
      <c r="F8" s="22">
        <v>4</v>
      </c>
      <c r="G8" s="25">
        <v>5.2</v>
      </c>
      <c r="H8" s="25">
        <v>5.98</v>
      </c>
      <c r="I8" s="25">
        <v>5.98</v>
      </c>
      <c r="J8" s="114"/>
      <c r="K8" s="92"/>
      <c r="L8" s="92"/>
      <c r="M8" s="92"/>
      <c r="N8" s="92"/>
      <c r="O8" s="93"/>
      <c r="P8" s="93"/>
      <c r="Q8" s="23">
        <v>22</v>
      </c>
      <c r="R8" s="25">
        <v>0.19</v>
      </c>
      <c r="S8" s="32">
        <v>0.15</v>
      </c>
      <c r="T8" s="33">
        <v>0.14000000000000001</v>
      </c>
      <c r="U8" s="45"/>
      <c r="V8" s="22">
        <v>22</v>
      </c>
      <c r="W8" s="36">
        <v>0.14000000000000001</v>
      </c>
      <c r="X8" s="113"/>
    </row>
    <row r="9" spans="1:25" s="1" customFormat="1">
      <c r="A9" s="102" t="s">
        <v>42</v>
      </c>
      <c r="B9" s="103" t="e">
        <v>#N/A</v>
      </c>
      <c r="C9" s="103" t="s">
        <v>64</v>
      </c>
      <c r="D9" s="104" t="s">
        <v>31</v>
      </c>
      <c r="E9" s="45"/>
      <c r="F9" s="22">
        <v>5</v>
      </c>
      <c r="G9" s="25">
        <v>5.2</v>
      </c>
      <c r="H9" s="25">
        <v>5.98</v>
      </c>
      <c r="I9" s="25">
        <v>5.98</v>
      </c>
      <c r="J9" s="114"/>
      <c r="K9" s="92"/>
      <c r="L9" s="92"/>
      <c r="M9" s="92"/>
      <c r="N9" s="92"/>
      <c r="O9" s="93"/>
      <c r="P9" s="93"/>
      <c r="Q9" s="22">
        <v>23</v>
      </c>
      <c r="R9" s="25">
        <v>0.19</v>
      </c>
      <c r="S9" s="32">
        <v>0.15</v>
      </c>
      <c r="T9" s="33">
        <v>0.14000000000000001</v>
      </c>
      <c r="U9" s="45"/>
      <c r="V9" s="22">
        <v>23</v>
      </c>
      <c r="W9" s="36">
        <v>0.14000000000000001</v>
      </c>
      <c r="X9" s="113"/>
      <c r="Y9" s="13"/>
    </row>
    <row r="10" spans="1:25" s="1" customFormat="1">
      <c r="A10" s="102" t="s">
        <v>58</v>
      </c>
      <c r="B10" s="103" t="e">
        <v>#N/A</v>
      </c>
      <c r="C10" s="103" t="s">
        <v>64</v>
      </c>
      <c r="D10" s="104" t="s">
        <v>4</v>
      </c>
      <c r="E10" s="45"/>
      <c r="F10" s="22">
        <v>6</v>
      </c>
      <c r="G10" s="25">
        <v>5.2</v>
      </c>
      <c r="H10" s="25">
        <v>5.98</v>
      </c>
      <c r="I10" s="25">
        <v>5.98</v>
      </c>
      <c r="J10" s="114"/>
      <c r="K10" s="92"/>
      <c r="L10" s="92"/>
      <c r="M10" s="92"/>
      <c r="N10" s="92"/>
      <c r="O10" s="93"/>
      <c r="P10" s="45"/>
      <c r="Q10" s="22">
        <v>24</v>
      </c>
      <c r="R10" s="25">
        <v>0.19</v>
      </c>
      <c r="S10" s="32">
        <v>0.15</v>
      </c>
      <c r="T10" s="33">
        <v>0.14000000000000001</v>
      </c>
      <c r="U10" s="45"/>
      <c r="V10" s="22">
        <v>24</v>
      </c>
      <c r="W10" s="36">
        <v>0.14000000000000001</v>
      </c>
      <c r="X10" s="113"/>
    </row>
    <row r="11" spans="1:25" s="1" customFormat="1">
      <c r="A11" s="102" t="s">
        <v>59</v>
      </c>
      <c r="B11" s="103" t="e">
        <v>#N/A</v>
      </c>
      <c r="C11" s="103" t="s">
        <v>64</v>
      </c>
      <c r="D11" s="104" t="s">
        <v>4</v>
      </c>
      <c r="E11" s="45"/>
      <c r="F11" s="22">
        <v>7</v>
      </c>
      <c r="G11" s="25">
        <v>5.2</v>
      </c>
      <c r="H11" s="25">
        <v>5.98</v>
      </c>
      <c r="I11" s="25">
        <v>5.98</v>
      </c>
      <c r="J11" s="114"/>
      <c r="K11" s="92"/>
      <c r="L11" s="92"/>
      <c r="M11" s="92"/>
      <c r="N11" s="92"/>
      <c r="O11" s="93"/>
      <c r="P11" s="45"/>
      <c r="Q11" s="22">
        <v>25</v>
      </c>
      <c r="R11" s="25">
        <v>0.19</v>
      </c>
      <c r="S11" s="32">
        <v>0.15</v>
      </c>
      <c r="T11" s="33">
        <v>0.14000000000000001</v>
      </c>
      <c r="U11" s="45"/>
      <c r="V11" s="22">
        <v>25</v>
      </c>
      <c r="W11" s="36">
        <v>0.14000000000000001</v>
      </c>
      <c r="X11" s="113"/>
    </row>
    <row r="12" spans="1:25" s="1" customFormat="1">
      <c r="A12" s="102" t="s">
        <v>52</v>
      </c>
      <c r="B12" s="103" t="e">
        <v>#N/A</v>
      </c>
      <c r="C12" s="103" t="s">
        <v>64</v>
      </c>
      <c r="D12" s="104" t="s">
        <v>5</v>
      </c>
      <c r="E12" s="45"/>
      <c r="F12" s="22">
        <v>8</v>
      </c>
      <c r="G12" s="25">
        <v>5.2</v>
      </c>
      <c r="H12" s="25">
        <v>5.98</v>
      </c>
      <c r="I12" s="25">
        <v>5.98</v>
      </c>
      <c r="J12" s="114"/>
      <c r="K12" s="92"/>
      <c r="L12" s="92"/>
      <c r="M12" s="92"/>
      <c r="N12" s="92"/>
      <c r="O12" s="93"/>
      <c r="P12" s="45"/>
      <c r="Q12" s="22">
        <v>26</v>
      </c>
      <c r="R12" s="25">
        <v>0.19</v>
      </c>
      <c r="S12" s="32">
        <v>0.15</v>
      </c>
      <c r="T12" s="33">
        <v>0.14000000000000001</v>
      </c>
      <c r="U12" s="45"/>
      <c r="V12" s="22">
        <v>26</v>
      </c>
      <c r="W12" s="36">
        <v>0.15</v>
      </c>
      <c r="X12" s="113"/>
    </row>
    <row r="13" spans="1:25" s="1" customFormat="1">
      <c r="A13" s="102" t="s">
        <v>53</v>
      </c>
      <c r="B13" s="103" t="e">
        <v>#N/A</v>
      </c>
      <c r="C13" s="103" t="s">
        <v>64</v>
      </c>
      <c r="D13" s="104" t="s">
        <v>5</v>
      </c>
      <c r="E13" s="45"/>
      <c r="F13" s="22">
        <v>9</v>
      </c>
      <c r="G13" s="25">
        <v>5.2</v>
      </c>
      <c r="H13" s="25">
        <v>5.98</v>
      </c>
      <c r="I13" s="25">
        <v>5.98</v>
      </c>
      <c r="J13" s="114"/>
      <c r="K13" s="92"/>
      <c r="L13" s="92"/>
      <c r="M13" s="92"/>
      <c r="N13" s="92"/>
      <c r="O13" s="93"/>
      <c r="P13" s="45"/>
      <c r="Q13" s="22">
        <v>27</v>
      </c>
      <c r="R13" s="25">
        <v>0.19</v>
      </c>
      <c r="S13" s="32">
        <v>0.15</v>
      </c>
      <c r="T13" s="33">
        <v>0.14000000000000001</v>
      </c>
      <c r="U13" s="45"/>
      <c r="V13" s="22">
        <v>27</v>
      </c>
      <c r="W13" s="36">
        <v>0.16</v>
      </c>
      <c r="X13" s="113"/>
    </row>
    <row r="14" spans="1:25" s="1" customFormat="1">
      <c r="A14" s="84" t="s">
        <v>43</v>
      </c>
      <c r="B14" s="89" t="s">
        <v>63</v>
      </c>
      <c r="C14" s="89" t="e">
        <v>#N/A</v>
      </c>
      <c r="D14" s="105" t="s">
        <v>31</v>
      </c>
      <c r="E14" s="45"/>
      <c r="F14" s="22">
        <v>10</v>
      </c>
      <c r="G14" s="25">
        <v>5.2</v>
      </c>
      <c r="H14" s="25">
        <v>5.98</v>
      </c>
      <c r="I14" s="25">
        <v>5.98</v>
      </c>
      <c r="J14" s="114"/>
      <c r="K14" s="92"/>
      <c r="L14" s="92"/>
      <c r="M14" s="92"/>
      <c r="N14" s="92"/>
      <c r="O14" s="93"/>
      <c r="P14" s="45"/>
      <c r="Q14" s="22">
        <v>28</v>
      </c>
      <c r="R14" s="25">
        <v>0.2</v>
      </c>
      <c r="S14" s="32">
        <v>0.16</v>
      </c>
      <c r="T14" s="33">
        <v>0.14000000000000001</v>
      </c>
      <c r="U14" s="45"/>
      <c r="V14" s="22">
        <v>28</v>
      </c>
      <c r="W14" s="36">
        <v>0.16</v>
      </c>
      <c r="X14" s="113"/>
    </row>
    <row r="15" spans="1:25" s="1" customFormat="1">
      <c r="A15" s="84" t="s">
        <v>44</v>
      </c>
      <c r="B15" s="89" t="s">
        <v>63</v>
      </c>
      <c r="C15" s="89" t="e">
        <v>#N/A</v>
      </c>
      <c r="D15" s="105" t="s">
        <v>31</v>
      </c>
      <c r="E15" s="45"/>
      <c r="F15" s="22">
        <v>11</v>
      </c>
      <c r="G15" s="25">
        <v>5.2</v>
      </c>
      <c r="H15" s="25">
        <v>5.98</v>
      </c>
      <c r="I15" s="25">
        <v>5.98</v>
      </c>
      <c r="J15" s="114"/>
      <c r="K15" s="92"/>
      <c r="L15" s="92"/>
      <c r="M15" s="92"/>
      <c r="N15" s="92"/>
      <c r="O15" s="93"/>
      <c r="P15" s="45"/>
      <c r="Q15" s="22">
        <v>29</v>
      </c>
      <c r="R15" s="25">
        <v>0.2</v>
      </c>
      <c r="S15" s="32">
        <v>0.16</v>
      </c>
      <c r="T15" s="33">
        <v>0.15</v>
      </c>
      <c r="U15" s="45"/>
      <c r="V15" s="22">
        <v>29</v>
      </c>
      <c r="W15" s="36">
        <v>0.17</v>
      </c>
      <c r="X15" s="113"/>
    </row>
    <row r="16" spans="1:25" s="1" customFormat="1">
      <c r="A16" s="84" t="s">
        <v>45</v>
      </c>
      <c r="B16" s="89" t="s">
        <v>63</v>
      </c>
      <c r="C16" s="89" t="e">
        <v>#N/A</v>
      </c>
      <c r="D16" s="105" t="s">
        <v>31</v>
      </c>
      <c r="E16" s="45"/>
      <c r="F16" s="22">
        <v>12</v>
      </c>
      <c r="G16" s="25">
        <v>5.2</v>
      </c>
      <c r="H16" s="25">
        <v>5.98</v>
      </c>
      <c r="I16" s="25">
        <v>5.98</v>
      </c>
      <c r="J16" s="114"/>
      <c r="K16" s="92"/>
      <c r="L16" s="92"/>
      <c r="M16" s="92"/>
      <c r="N16" s="92"/>
      <c r="O16" s="93"/>
      <c r="P16" s="45"/>
      <c r="Q16" s="22">
        <v>30</v>
      </c>
      <c r="R16" s="25">
        <v>0.21</v>
      </c>
      <c r="S16" s="32">
        <v>0.17</v>
      </c>
      <c r="T16" s="33">
        <v>0.16</v>
      </c>
      <c r="U16" s="45"/>
      <c r="V16" s="22">
        <v>30</v>
      </c>
      <c r="W16" s="36">
        <v>0.18</v>
      </c>
      <c r="X16" s="113"/>
    </row>
    <row r="17" spans="1:24" s="1" customFormat="1">
      <c r="A17" s="84" t="s">
        <v>6</v>
      </c>
      <c r="B17" s="89" t="s">
        <v>60</v>
      </c>
      <c r="C17" s="89" t="e">
        <v>#N/A</v>
      </c>
      <c r="D17" s="105" t="s">
        <v>6</v>
      </c>
      <c r="E17" s="45"/>
      <c r="F17" s="22">
        <v>13</v>
      </c>
      <c r="G17" s="25">
        <v>5.2</v>
      </c>
      <c r="H17" s="25">
        <v>5.98</v>
      </c>
      <c r="I17" s="25">
        <v>5.98</v>
      </c>
      <c r="J17" s="114"/>
      <c r="K17" s="92"/>
      <c r="L17" s="92"/>
      <c r="M17" s="92"/>
      <c r="N17" s="92"/>
      <c r="O17" s="93"/>
      <c r="P17" s="45"/>
      <c r="Q17" s="22">
        <v>31</v>
      </c>
      <c r="R17" s="25">
        <v>0.22</v>
      </c>
      <c r="S17" s="32">
        <v>0.18</v>
      </c>
      <c r="T17" s="33">
        <v>0.16</v>
      </c>
      <c r="U17" s="45"/>
      <c r="V17" s="22">
        <v>31</v>
      </c>
      <c r="W17" s="36">
        <v>0.19</v>
      </c>
      <c r="X17" s="113"/>
    </row>
    <row r="18" spans="1:24" s="1" customFormat="1">
      <c r="A18" s="84" t="s">
        <v>3</v>
      </c>
      <c r="B18" s="89" t="s">
        <v>60</v>
      </c>
      <c r="C18" s="89" t="e">
        <v>#N/A</v>
      </c>
      <c r="D18" s="105" t="s">
        <v>3</v>
      </c>
      <c r="E18" s="45"/>
      <c r="F18" s="22">
        <v>14</v>
      </c>
      <c r="G18" s="25">
        <v>5.2</v>
      </c>
      <c r="H18" s="25">
        <v>5.98</v>
      </c>
      <c r="I18" s="25">
        <v>5.98</v>
      </c>
      <c r="J18" s="114"/>
      <c r="K18" s="92"/>
      <c r="L18" s="92"/>
      <c r="M18" s="92"/>
      <c r="N18" s="92"/>
      <c r="O18" s="93"/>
      <c r="P18" s="45"/>
      <c r="Q18" s="22">
        <v>32</v>
      </c>
      <c r="R18" s="25">
        <v>0.22</v>
      </c>
      <c r="S18" s="32">
        <v>0.19</v>
      </c>
      <c r="T18" s="33">
        <v>0.17</v>
      </c>
      <c r="U18" s="45"/>
      <c r="V18" s="22">
        <v>32</v>
      </c>
      <c r="W18" s="36">
        <v>0.2</v>
      </c>
      <c r="X18" s="113"/>
    </row>
    <row r="19" spans="1:24" s="1" customFormat="1">
      <c r="A19" s="84" t="s">
        <v>4</v>
      </c>
      <c r="B19" s="89" t="s">
        <v>60</v>
      </c>
      <c r="C19" s="89" t="e">
        <v>#N/A</v>
      </c>
      <c r="D19" s="105" t="s">
        <v>4</v>
      </c>
      <c r="E19" s="45"/>
      <c r="F19" s="22">
        <v>15</v>
      </c>
      <c r="G19" s="25">
        <v>5.2</v>
      </c>
      <c r="H19" s="25">
        <v>5.98</v>
      </c>
      <c r="I19" s="25">
        <v>5.98</v>
      </c>
      <c r="J19" s="114"/>
      <c r="K19" s="92"/>
      <c r="L19" s="92"/>
      <c r="M19" s="92"/>
      <c r="N19" s="92"/>
      <c r="O19" s="93"/>
      <c r="P19" s="45"/>
      <c r="Q19" s="22">
        <v>33</v>
      </c>
      <c r="R19" s="25">
        <v>0.23</v>
      </c>
      <c r="S19" s="32">
        <v>0.2</v>
      </c>
      <c r="T19" s="33">
        <v>0.18</v>
      </c>
      <c r="U19" s="45"/>
      <c r="V19" s="22">
        <v>33</v>
      </c>
      <c r="W19" s="36">
        <v>0.2</v>
      </c>
      <c r="X19" s="113"/>
    </row>
    <row r="20" spans="1:24" s="1" customFormat="1">
      <c r="A20" s="84" t="s">
        <v>5</v>
      </c>
      <c r="B20" s="89" t="s">
        <v>60</v>
      </c>
      <c r="C20" s="89" t="e">
        <v>#N/A</v>
      </c>
      <c r="D20" s="105" t="s">
        <v>5</v>
      </c>
      <c r="E20" s="45"/>
      <c r="F20" s="22">
        <v>16</v>
      </c>
      <c r="G20" s="25">
        <v>5.2</v>
      </c>
      <c r="H20" s="25">
        <v>5.98</v>
      </c>
      <c r="I20" s="25">
        <v>5.98</v>
      </c>
      <c r="J20" s="114"/>
      <c r="K20" s="92"/>
      <c r="L20" s="92"/>
      <c r="M20" s="92"/>
      <c r="N20" s="92"/>
      <c r="O20" s="93"/>
      <c r="P20" s="45"/>
      <c r="Q20" s="22">
        <v>34</v>
      </c>
      <c r="R20" s="25">
        <v>0.24</v>
      </c>
      <c r="S20" s="32">
        <v>0.22</v>
      </c>
      <c r="T20" s="33">
        <v>0.2</v>
      </c>
      <c r="U20" s="45"/>
      <c r="V20" s="22">
        <v>34</v>
      </c>
      <c r="W20" s="36">
        <v>0.21</v>
      </c>
      <c r="X20" s="113"/>
    </row>
    <row r="21" spans="1:24" s="1" customFormat="1">
      <c r="A21" s="84" t="s">
        <v>18</v>
      </c>
      <c r="B21" s="89" t="s">
        <v>63</v>
      </c>
      <c r="C21" s="89" t="s">
        <v>64</v>
      </c>
      <c r="D21" s="105" t="s">
        <v>31</v>
      </c>
      <c r="E21" s="45"/>
      <c r="F21" s="22">
        <v>17</v>
      </c>
      <c r="G21" s="25">
        <v>5.2</v>
      </c>
      <c r="H21" s="25">
        <v>5.98</v>
      </c>
      <c r="I21" s="25">
        <v>5.98</v>
      </c>
      <c r="J21" s="114"/>
      <c r="K21" s="92"/>
      <c r="L21" s="92"/>
      <c r="M21" s="92"/>
      <c r="N21" s="92"/>
      <c r="O21" s="93"/>
      <c r="P21" s="45"/>
      <c r="Q21" s="22">
        <v>35</v>
      </c>
      <c r="R21" s="25">
        <v>0.25</v>
      </c>
      <c r="S21" s="32">
        <v>0.23</v>
      </c>
      <c r="T21" s="33">
        <v>0.21</v>
      </c>
      <c r="U21" s="45"/>
      <c r="V21" s="22">
        <v>35</v>
      </c>
      <c r="W21" s="36">
        <v>0.22</v>
      </c>
      <c r="X21" s="113"/>
    </row>
    <row r="22" spans="1:24" s="1" customFormat="1">
      <c r="A22" s="102" t="s">
        <v>33</v>
      </c>
      <c r="B22" s="103" t="s">
        <v>63</v>
      </c>
      <c r="C22" s="103" t="s">
        <v>64</v>
      </c>
      <c r="D22" s="104" t="s">
        <v>31</v>
      </c>
      <c r="E22" s="45"/>
      <c r="F22" s="22">
        <v>18</v>
      </c>
      <c r="G22" s="25">
        <v>5.2</v>
      </c>
      <c r="H22" s="25">
        <v>5.98</v>
      </c>
      <c r="I22" s="25">
        <v>5.98</v>
      </c>
      <c r="J22" s="115">
        <v>2.42</v>
      </c>
      <c r="K22" s="24">
        <v>3.73</v>
      </c>
      <c r="L22" s="24">
        <v>3.73</v>
      </c>
      <c r="M22" s="24">
        <v>4.04</v>
      </c>
      <c r="N22" s="24">
        <v>4.67</v>
      </c>
      <c r="O22" s="38">
        <v>3.39</v>
      </c>
      <c r="P22" s="45"/>
      <c r="Q22" s="22">
        <v>36</v>
      </c>
      <c r="R22" s="25">
        <v>0.27</v>
      </c>
      <c r="S22" s="32">
        <v>0.25</v>
      </c>
      <c r="T22" s="33">
        <v>0.22</v>
      </c>
      <c r="U22" s="45"/>
      <c r="V22" s="22">
        <v>36</v>
      </c>
      <c r="W22" s="36">
        <v>0.24</v>
      </c>
      <c r="X22" s="113"/>
    </row>
    <row r="23" spans="1:24" s="1" customFormat="1">
      <c r="A23" s="102" t="s">
        <v>34</v>
      </c>
      <c r="B23" s="103" t="s">
        <v>63</v>
      </c>
      <c r="C23" s="103" t="s">
        <v>64</v>
      </c>
      <c r="D23" s="104" t="s">
        <v>31</v>
      </c>
      <c r="E23" s="45"/>
      <c r="F23" s="84">
        <v>19</v>
      </c>
      <c r="G23" s="25">
        <v>5.2</v>
      </c>
      <c r="H23" s="25">
        <v>5.98</v>
      </c>
      <c r="I23" s="25">
        <v>5.98</v>
      </c>
      <c r="J23" s="115">
        <v>2.46</v>
      </c>
      <c r="K23" s="24">
        <v>3.73</v>
      </c>
      <c r="L23" s="24">
        <v>3.73</v>
      </c>
      <c r="M23" s="24">
        <v>4.04</v>
      </c>
      <c r="N23" s="24">
        <v>4.67</v>
      </c>
      <c r="O23" s="38">
        <v>3.39</v>
      </c>
      <c r="P23" s="45"/>
      <c r="Q23" s="22">
        <v>37</v>
      </c>
      <c r="R23" s="25">
        <v>0.28000000000000003</v>
      </c>
      <c r="S23" s="32">
        <v>0.26</v>
      </c>
      <c r="T23" s="33">
        <v>0.24</v>
      </c>
      <c r="U23" s="45"/>
      <c r="V23" s="22">
        <v>37</v>
      </c>
      <c r="W23" s="36">
        <v>0.27</v>
      </c>
      <c r="X23" s="113"/>
    </row>
    <row r="24" spans="1:24" s="1" customFormat="1">
      <c r="A24" s="84" t="s">
        <v>19</v>
      </c>
      <c r="B24" s="89" t="s">
        <v>63</v>
      </c>
      <c r="C24" s="89" t="s">
        <v>64</v>
      </c>
      <c r="D24" s="105" t="s">
        <v>31</v>
      </c>
      <c r="E24" s="45"/>
      <c r="F24" s="84">
        <v>20</v>
      </c>
      <c r="G24" s="25">
        <v>5.2</v>
      </c>
      <c r="H24" s="25">
        <v>5.98</v>
      </c>
      <c r="I24" s="25">
        <v>5.98</v>
      </c>
      <c r="J24" s="115">
        <v>2.5</v>
      </c>
      <c r="K24" s="24">
        <v>3.73</v>
      </c>
      <c r="L24" s="24">
        <v>3.73</v>
      </c>
      <c r="M24" s="24">
        <v>4.04</v>
      </c>
      <c r="N24" s="24">
        <v>4.67</v>
      </c>
      <c r="O24" s="38">
        <v>3.39</v>
      </c>
      <c r="P24" s="45"/>
      <c r="Q24" s="22">
        <v>38</v>
      </c>
      <c r="R24" s="25">
        <v>0.31</v>
      </c>
      <c r="S24" s="32">
        <v>0.28000000000000003</v>
      </c>
      <c r="T24" s="33">
        <v>0.25</v>
      </c>
      <c r="U24" s="45"/>
      <c r="V24" s="22">
        <v>38</v>
      </c>
      <c r="W24" s="36">
        <v>0.28999999999999998</v>
      </c>
      <c r="X24" s="113"/>
    </row>
    <row r="25" spans="1:24" s="1" customFormat="1">
      <c r="A25" s="84" t="s">
        <v>35</v>
      </c>
      <c r="B25" s="89" t="s">
        <v>63</v>
      </c>
      <c r="C25" s="89" t="s">
        <v>64</v>
      </c>
      <c r="D25" s="105" t="s">
        <v>31</v>
      </c>
      <c r="E25" s="45"/>
      <c r="F25" s="84">
        <v>21</v>
      </c>
      <c r="G25" s="25">
        <v>5.2</v>
      </c>
      <c r="H25" s="25">
        <v>5.98</v>
      </c>
      <c r="I25" s="25">
        <v>5.98</v>
      </c>
      <c r="J25" s="115">
        <v>2.52</v>
      </c>
      <c r="K25" s="24">
        <v>3.73</v>
      </c>
      <c r="L25" s="24">
        <v>3.73</v>
      </c>
      <c r="M25" s="24">
        <v>4.04</v>
      </c>
      <c r="N25" s="24">
        <v>4.67</v>
      </c>
      <c r="O25" s="38">
        <v>3.39</v>
      </c>
      <c r="P25" s="45"/>
      <c r="Q25" s="22">
        <v>39</v>
      </c>
      <c r="R25" s="25">
        <v>0.34</v>
      </c>
      <c r="S25" s="32">
        <v>0.3</v>
      </c>
      <c r="T25" s="33">
        <v>0.27</v>
      </c>
      <c r="U25" s="45"/>
      <c r="V25" s="22">
        <v>39</v>
      </c>
      <c r="W25" s="36">
        <v>0.32</v>
      </c>
      <c r="X25" s="113"/>
    </row>
    <row r="26" spans="1:24" s="1" customFormat="1">
      <c r="A26" s="84" t="s">
        <v>36</v>
      </c>
      <c r="B26" s="89" t="s">
        <v>63</v>
      </c>
      <c r="C26" s="89" t="s">
        <v>64</v>
      </c>
      <c r="D26" s="105" t="s">
        <v>31</v>
      </c>
      <c r="E26" s="45"/>
      <c r="F26" s="84">
        <v>22</v>
      </c>
      <c r="G26" s="25">
        <v>5.2</v>
      </c>
      <c r="H26" s="25">
        <v>5.98</v>
      </c>
      <c r="I26" s="25">
        <v>5.98</v>
      </c>
      <c r="J26" s="115">
        <v>2.5299999999999998</v>
      </c>
      <c r="K26" s="24">
        <v>3.73</v>
      </c>
      <c r="L26" s="24">
        <v>3.73</v>
      </c>
      <c r="M26" s="24">
        <v>4.04</v>
      </c>
      <c r="N26" s="24">
        <v>4.67</v>
      </c>
      <c r="O26" s="38">
        <v>3.39</v>
      </c>
      <c r="P26" s="45"/>
      <c r="Q26" s="22">
        <v>40</v>
      </c>
      <c r="R26" s="25">
        <v>0.36</v>
      </c>
      <c r="S26" s="32">
        <v>0.32</v>
      </c>
      <c r="T26" s="33">
        <v>0.28999999999999998</v>
      </c>
      <c r="U26" s="45"/>
      <c r="V26" s="22">
        <v>40</v>
      </c>
      <c r="W26" s="36">
        <v>0.34</v>
      </c>
      <c r="X26" s="113"/>
    </row>
    <row r="27" spans="1:24" s="1" customFormat="1">
      <c r="A27" s="84" t="s">
        <v>46</v>
      </c>
      <c r="B27" s="89" t="s">
        <v>63</v>
      </c>
      <c r="C27" s="89" t="s">
        <v>64</v>
      </c>
      <c r="D27" s="105" t="s">
        <v>6</v>
      </c>
      <c r="E27" s="45"/>
      <c r="F27" s="84">
        <v>23</v>
      </c>
      <c r="G27" s="25">
        <v>5.2</v>
      </c>
      <c r="H27" s="25">
        <v>5.98</v>
      </c>
      <c r="I27" s="25">
        <v>5.98</v>
      </c>
      <c r="J27" s="115">
        <v>2.54</v>
      </c>
      <c r="K27" s="24">
        <v>3.73</v>
      </c>
      <c r="L27" s="24">
        <v>3.73</v>
      </c>
      <c r="M27" s="24">
        <v>4.04</v>
      </c>
      <c r="N27" s="24">
        <v>4.67</v>
      </c>
      <c r="O27" s="38">
        <v>3.39</v>
      </c>
      <c r="P27" s="45"/>
      <c r="Q27" s="22">
        <v>41</v>
      </c>
      <c r="R27" s="25">
        <v>0.39</v>
      </c>
      <c r="S27" s="32">
        <v>0.35</v>
      </c>
      <c r="T27" s="33">
        <v>0.31</v>
      </c>
      <c r="U27" s="45"/>
      <c r="V27" s="22">
        <v>41</v>
      </c>
      <c r="W27" s="36">
        <v>0.36</v>
      </c>
      <c r="X27" s="113"/>
    </row>
    <row r="28" spans="1:24" s="1" customFormat="1">
      <c r="A28" s="22" t="s">
        <v>47</v>
      </c>
      <c r="B28" s="23" t="s">
        <v>63</v>
      </c>
      <c r="C28" s="23" t="s">
        <v>64</v>
      </c>
      <c r="D28" s="106" t="s">
        <v>6</v>
      </c>
      <c r="E28" s="45"/>
      <c r="F28" s="122">
        <v>24</v>
      </c>
      <c r="G28" s="89"/>
      <c r="H28" s="96"/>
      <c r="I28" s="96"/>
      <c r="J28" s="116">
        <v>2.56</v>
      </c>
      <c r="K28" s="24">
        <v>3.73</v>
      </c>
      <c r="L28" s="24">
        <v>3.73</v>
      </c>
      <c r="M28" s="24">
        <v>4.04</v>
      </c>
      <c r="N28" s="24">
        <v>4.67</v>
      </c>
      <c r="O28" s="38">
        <v>3.39</v>
      </c>
      <c r="P28" s="45"/>
      <c r="Q28" s="22">
        <v>42</v>
      </c>
      <c r="R28" s="25">
        <v>0.42</v>
      </c>
      <c r="S28" s="32">
        <v>0.37</v>
      </c>
      <c r="T28" s="33">
        <v>0.34</v>
      </c>
      <c r="U28" s="45"/>
      <c r="V28" s="22">
        <v>42</v>
      </c>
      <c r="W28" s="36">
        <v>0.39</v>
      </c>
      <c r="X28" s="113"/>
    </row>
    <row r="29" spans="1:24" s="1" customFormat="1">
      <c r="A29" s="22" t="s">
        <v>54</v>
      </c>
      <c r="B29" s="23" t="e">
        <v>#N/A</v>
      </c>
      <c r="C29" s="23" t="s">
        <v>64</v>
      </c>
      <c r="D29" s="106" t="s">
        <v>3</v>
      </c>
      <c r="E29" s="45"/>
      <c r="F29" s="123">
        <v>25</v>
      </c>
      <c r="G29" s="120"/>
      <c r="H29" s="92"/>
      <c r="I29" s="92"/>
      <c r="J29" s="117">
        <v>2.6</v>
      </c>
      <c r="K29" s="25">
        <v>3.73</v>
      </c>
      <c r="L29" s="25">
        <v>3.73</v>
      </c>
      <c r="M29" s="25">
        <v>4.04</v>
      </c>
      <c r="N29" s="25">
        <v>4.67</v>
      </c>
      <c r="O29" s="38">
        <v>3.39</v>
      </c>
      <c r="P29" s="45"/>
      <c r="Q29" s="22">
        <v>43</v>
      </c>
      <c r="R29" s="25">
        <v>0.46</v>
      </c>
      <c r="S29" s="32">
        <v>0.4</v>
      </c>
      <c r="T29" s="33">
        <v>0.36</v>
      </c>
      <c r="U29" s="45"/>
      <c r="V29" s="22">
        <v>43</v>
      </c>
      <c r="W29" s="36">
        <v>0.41</v>
      </c>
      <c r="X29" s="113"/>
    </row>
    <row r="30" spans="1:24" s="1" customFormat="1">
      <c r="A30" s="22" t="s">
        <v>55</v>
      </c>
      <c r="B30" s="23" t="e">
        <v>#N/A</v>
      </c>
      <c r="C30" s="23" t="s">
        <v>64</v>
      </c>
      <c r="D30" s="106" t="s">
        <v>3</v>
      </c>
      <c r="E30" s="45"/>
      <c r="F30" s="123">
        <v>26</v>
      </c>
      <c r="G30" s="120"/>
      <c r="H30" s="92"/>
      <c r="I30" s="92"/>
      <c r="J30" s="117">
        <v>2.7</v>
      </c>
      <c r="K30" s="25">
        <v>3.75</v>
      </c>
      <c r="L30" s="25">
        <v>3.75</v>
      </c>
      <c r="M30" s="25">
        <v>4.07</v>
      </c>
      <c r="N30" s="25">
        <v>4.7</v>
      </c>
      <c r="O30" s="38">
        <v>3.41</v>
      </c>
      <c r="P30" s="45"/>
      <c r="Q30" s="22">
        <v>44</v>
      </c>
      <c r="R30" s="25">
        <v>0.49</v>
      </c>
      <c r="S30" s="32">
        <v>0.43</v>
      </c>
      <c r="T30" s="33">
        <v>0.39</v>
      </c>
      <c r="U30" s="45"/>
      <c r="V30" s="22">
        <v>44</v>
      </c>
      <c r="W30" s="36">
        <v>0.44</v>
      </c>
      <c r="X30" s="113"/>
    </row>
    <row r="31" spans="1:24" s="1" customFormat="1">
      <c r="A31" s="22" t="s">
        <v>56</v>
      </c>
      <c r="B31" s="23" t="s">
        <v>63</v>
      </c>
      <c r="C31" s="23" t="s">
        <v>64</v>
      </c>
      <c r="D31" s="106" t="s">
        <v>4</v>
      </c>
      <c r="E31" s="45"/>
      <c r="F31" s="123">
        <v>27</v>
      </c>
      <c r="G31" s="120"/>
      <c r="H31" s="92"/>
      <c r="I31" s="92"/>
      <c r="J31" s="117">
        <v>2.85</v>
      </c>
      <c r="K31" s="25">
        <v>3.82</v>
      </c>
      <c r="L31" s="25">
        <v>3.82</v>
      </c>
      <c r="M31" s="25">
        <v>4.13</v>
      </c>
      <c r="N31" s="25">
        <v>4.7699999999999996</v>
      </c>
      <c r="O31" s="38">
        <v>3.47</v>
      </c>
      <c r="P31" s="45"/>
      <c r="Q31" s="22">
        <v>45</v>
      </c>
      <c r="R31" s="25">
        <v>0.52</v>
      </c>
      <c r="S31" s="32">
        <v>0.46</v>
      </c>
      <c r="T31" s="33">
        <v>0.42</v>
      </c>
      <c r="U31" s="45"/>
      <c r="V31" s="22">
        <v>45</v>
      </c>
      <c r="W31" s="36">
        <v>0.46</v>
      </c>
      <c r="X31" s="113"/>
    </row>
    <row r="32" spans="1:24" s="1" customFormat="1">
      <c r="A32" s="22" t="s">
        <v>57</v>
      </c>
      <c r="B32" s="23" t="s">
        <v>63</v>
      </c>
      <c r="C32" s="23" t="s">
        <v>64</v>
      </c>
      <c r="D32" s="106" t="s">
        <v>4</v>
      </c>
      <c r="E32" s="45"/>
      <c r="F32" s="123">
        <v>28</v>
      </c>
      <c r="G32" s="120"/>
      <c r="H32" s="92"/>
      <c r="I32" s="92"/>
      <c r="J32" s="117">
        <v>3.05</v>
      </c>
      <c r="K32" s="25">
        <v>3.93</v>
      </c>
      <c r="L32" s="25">
        <v>3.93</v>
      </c>
      <c r="M32" s="25">
        <v>4.26</v>
      </c>
      <c r="N32" s="25">
        <v>4.92</v>
      </c>
      <c r="O32" s="38">
        <v>3.57</v>
      </c>
      <c r="P32" s="45"/>
      <c r="Q32" s="22">
        <v>46</v>
      </c>
      <c r="R32" s="25">
        <v>0.84</v>
      </c>
      <c r="S32" s="32">
        <v>0.74</v>
      </c>
      <c r="T32" s="33">
        <v>0.67</v>
      </c>
      <c r="U32" s="45"/>
      <c r="V32" s="22">
        <v>46</v>
      </c>
      <c r="W32" s="36">
        <v>0.51</v>
      </c>
      <c r="X32" s="113"/>
    </row>
    <row r="33" spans="1:24" s="1" customFormat="1">
      <c r="A33" s="22" t="s">
        <v>50</v>
      </c>
      <c r="B33" s="23" t="s">
        <v>63</v>
      </c>
      <c r="C33" s="23" t="s">
        <v>64</v>
      </c>
      <c r="D33" s="106" t="s">
        <v>5</v>
      </c>
      <c r="E33" s="45"/>
      <c r="F33" s="123">
        <v>29</v>
      </c>
      <c r="G33" s="120"/>
      <c r="H33" s="92"/>
      <c r="I33" s="92"/>
      <c r="J33" s="117">
        <v>3.3</v>
      </c>
      <c r="K33" s="25">
        <v>4.09</v>
      </c>
      <c r="L33" s="25">
        <v>4.09</v>
      </c>
      <c r="M33" s="25">
        <v>4.43</v>
      </c>
      <c r="N33" s="25">
        <v>5.12</v>
      </c>
      <c r="O33" s="38">
        <v>3.72</v>
      </c>
      <c r="P33" s="45"/>
      <c r="Q33" s="22">
        <v>47</v>
      </c>
      <c r="R33" s="25">
        <v>0.9</v>
      </c>
      <c r="S33" s="32">
        <v>0.78</v>
      </c>
      <c r="T33" s="33">
        <v>0.71</v>
      </c>
      <c r="U33" s="45"/>
      <c r="V33" s="22">
        <v>47</v>
      </c>
      <c r="W33" s="36">
        <v>0.56999999999999995</v>
      </c>
      <c r="X33" s="113"/>
    </row>
    <row r="34" spans="1:24" s="1" customFormat="1">
      <c r="A34" s="22" t="s">
        <v>51</v>
      </c>
      <c r="B34" s="23" t="s">
        <v>63</v>
      </c>
      <c r="C34" s="23" t="s">
        <v>64</v>
      </c>
      <c r="D34" s="106" t="s">
        <v>5</v>
      </c>
      <c r="E34" s="45"/>
      <c r="F34" s="123">
        <v>30</v>
      </c>
      <c r="G34" s="120"/>
      <c r="H34" s="92"/>
      <c r="I34" s="92"/>
      <c r="J34" s="117">
        <v>3.6</v>
      </c>
      <c r="K34" s="25">
        <v>4.3</v>
      </c>
      <c r="L34" s="25">
        <v>4.3</v>
      </c>
      <c r="M34" s="25">
        <v>4.6500000000000004</v>
      </c>
      <c r="N34" s="25">
        <v>5.37</v>
      </c>
      <c r="O34" s="38">
        <v>3.91</v>
      </c>
      <c r="P34" s="45"/>
      <c r="Q34" s="22">
        <v>48</v>
      </c>
      <c r="R34" s="25">
        <v>0.96</v>
      </c>
      <c r="S34" s="32">
        <v>0.83</v>
      </c>
      <c r="T34" s="33">
        <v>0.76</v>
      </c>
      <c r="U34" s="45"/>
      <c r="V34" s="22">
        <v>48</v>
      </c>
      <c r="W34" s="36">
        <v>0.62</v>
      </c>
      <c r="X34" s="113"/>
    </row>
    <row r="35" spans="1:24" s="1" customFormat="1">
      <c r="A35" s="1" t="s">
        <v>74</v>
      </c>
      <c r="B35" s="1" t="s">
        <v>75</v>
      </c>
      <c r="C35" s="1" t="e">
        <v>#N/A</v>
      </c>
      <c r="D35" s="119" t="s">
        <v>74</v>
      </c>
      <c r="E35" s="45"/>
      <c r="F35" s="123">
        <v>31</v>
      </c>
      <c r="G35" s="120"/>
      <c r="H35" s="92"/>
      <c r="I35" s="92"/>
      <c r="J35" s="117">
        <v>3.9</v>
      </c>
      <c r="K35" s="25">
        <v>4.53</v>
      </c>
      <c r="L35" s="25">
        <v>4.53</v>
      </c>
      <c r="M35" s="25">
        <v>4.91</v>
      </c>
      <c r="N35" s="25">
        <v>5.67</v>
      </c>
      <c r="O35" s="38">
        <v>4.12</v>
      </c>
      <c r="P35" s="45"/>
      <c r="Q35" s="22">
        <v>49</v>
      </c>
      <c r="R35" s="25">
        <v>1.03</v>
      </c>
      <c r="S35" s="32">
        <v>0.89</v>
      </c>
      <c r="T35" s="33">
        <v>0.81</v>
      </c>
      <c r="U35" s="45"/>
      <c r="V35" s="22">
        <v>49</v>
      </c>
      <c r="W35" s="36">
        <v>0.68</v>
      </c>
      <c r="X35" s="113"/>
    </row>
    <row r="36" spans="1:24" s="1" customFormat="1">
      <c r="A36" s="1" t="s">
        <v>76</v>
      </c>
      <c r="B36" s="1" t="e">
        <v>#N/A</v>
      </c>
      <c r="C36" s="1" t="e">
        <v>#N/A</v>
      </c>
      <c r="D36" s="119" t="s">
        <v>77</v>
      </c>
      <c r="E36" s="45"/>
      <c r="F36" s="123">
        <v>32</v>
      </c>
      <c r="G36" s="120"/>
      <c r="H36" s="92"/>
      <c r="I36" s="92"/>
      <c r="J36" s="117">
        <v>4.2</v>
      </c>
      <c r="K36" s="25">
        <v>4.79</v>
      </c>
      <c r="L36" s="25">
        <v>4.79</v>
      </c>
      <c r="M36" s="25">
        <v>5.19</v>
      </c>
      <c r="N36" s="25">
        <v>5.99</v>
      </c>
      <c r="O36" s="38">
        <v>4.3499999999999996</v>
      </c>
      <c r="P36" s="45"/>
      <c r="Q36" s="22">
        <v>50</v>
      </c>
      <c r="R36" s="25">
        <v>1.0900000000000001</v>
      </c>
      <c r="S36" s="32">
        <v>0.95</v>
      </c>
      <c r="T36" s="33">
        <v>0.86</v>
      </c>
      <c r="U36" s="45"/>
      <c r="V36" s="22">
        <v>50</v>
      </c>
      <c r="W36" s="36">
        <v>0.73</v>
      </c>
      <c r="X36" s="113"/>
    </row>
    <row r="37" spans="1:24" s="1" customFormat="1">
      <c r="A37" s="102" t="s">
        <v>65</v>
      </c>
      <c r="B37" s="89" t="e">
        <v>#N/A</v>
      </c>
      <c r="C37" s="89" t="e">
        <v>#N/A</v>
      </c>
      <c r="D37" s="105" t="s">
        <v>66</v>
      </c>
      <c r="E37" s="45"/>
      <c r="F37" s="123">
        <v>33</v>
      </c>
      <c r="G37" s="120"/>
      <c r="H37" s="92"/>
      <c r="I37" s="92"/>
      <c r="J37" s="117">
        <v>4.5</v>
      </c>
      <c r="K37" s="25">
        <v>5.07</v>
      </c>
      <c r="L37" s="25">
        <v>5.07</v>
      </c>
      <c r="M37" s="25">
        <v>5.5</v>
      </c>
      <c r="N37" s="25">
        <v>6.35</v>
      </c>
      <c r="O37" s="38">
        <v>4.6100000000000003</v>
      </c>
      <c r="P37" s="45"/>
      <c r="Q37" s="22">
        <v>51</v>
      </c>
      <c r="R37" s="25">
        <v>1.55</v>
      </c>
      <c r="S37" s="32">
        <v>1.35</v>
      </c>
      <c r="T37" s="33">
        <v>1.23</v>
      </c>
      <c r="U37" s="45"/>
      <c r="V37" s="22">
        <v>51</v>
      </c>
      <c r="W37" s="36">
        <v>0.78</v>
      </c>
      <c r="X37" s="113"/>
    </row>
    <row r="38" spans="1:24" s="1" customFormat="1">
      <c r="A38" s="102" t="s">
        <v>67</v>
      </c>
      <c r="B38" s="89" t="e">
        <v>#N/A</v>
      </c>
      <c r="C38" s="89" t="e">
        <v>#N/A</v>
      </c>
      <c r="D38" s="105" t="s">
        <v>66</v>
      </c>
      <c r="E38" s="45"/>
      <c r="F38" s="123">
        <v>34</v>
      </c>
      <c r="G38" s="120"/>
      <c r="H38" s="92"/>
      <c r="I38" s="92"/>
      <c r="J38" s="117">
        <v>4.8499999999999996</v>
      </c>
      <c r="K38" s="25">
        <v>5.39</v>
      </c>
      <c r="L38" s="25">
        <v>5.39</v>
      </c>
      <c r="M38" s="25">
        <v>5.84</v>
      </c>
      <c r="N38" s="25">
        <v>6.74</v>
      </c>
      <c r="O38" s="38">
        <v>4.9000000000000004</v>
      </c>
      <c r="P38" s="45"/>
      <c r="Q38" s="22">
        <v>52</v>
      </c>
      <c r="R38" s="25">
        <v>1.65</v>
      </c>
      <c r="S38" s="32">
        <v>1.45</v>
      </c>
      <c r="T38" s="33">
        <v>1.32</v>
      </c>
      <c r="U38" s="45"/>
      <c r="V38" s="22">
        <v>52</v>
      </c>
      <c r="W38" s="36">
        <v>0.84</v>
      </c>
      <c r="X38" s="113"/>
    </row>
    <row r="39" spans="1:24" s="1" customFormat="1">
      <c r="A39" s="84" t="s">
        <v>68</v>
      </c>
      <c r="B39" s="89" t="e">
        <v>#N/A</v>
      </c>
      <c r="C39" s="89" t="e">
        <v>#N/A</v>
      </c>
      <c r="D39" s="105" t="s">
        <v>66</v>
      </c>
      <c r="E39" s="45"/>
      <c r="F39" s="123">
        <v>35</v>
      </c>
      <c r="G39" s="120"/>
      <c r="H39" s="92"/>
      <c r="I39" s="92"/>
      <c r="J39" s="117">
        <v>5.2</v>
      </c>
      <c r="K39" s="25">
        <v>5.74</v>
      </c>
      <c r="L39" s="25">
        <v>5.74</v>
      </c>
      <c r="M39" s="25">
        <v>6.21</v>
      </c>
      <c r="N39" s="25">
        <v>7.17</v>
      </c>
      <c r="O39" s="38">
        <v>5.22</v>
      </c>
      <c r="P39" s="45"/>
      <c r="Q39" s="22">
        <v>53</v>
      </c>
      <c r="R39" s="25">
        <v>1.75</v>
      </c>
      <c r="S39" s="32">
        <v>1.57</v>
      </c>
      <c r="T39" s="33">
        <v>1.42</v>
      </c>
      <c r="U39" s="45"/>
      <c r="V39" s="22">
        <v>53</v>
      </c>
      <c r="W39" s="36">
        <v>0.89</v>
      </c>
      <c r="X39" s="113"/>
    </row>
    <row r="40" spans="1:24" s="1" customFormat="1">
      <c r="A40" s="84" t="s">
        <v>69</v>
      </c>
      <c r="B40" s="89" t="e">
        <v>#N/A</v>
      </c>
      <c r="C40" s="89" t="e">
        <v>#N/A</v>
      </c>
      <c r="D40" s="105" t="s">
        <v>66</v>
      </c>
      <c r="E40" s="45"/>
      <c r="F40" s="123">
        <v>36</v>
      </c>
      <c r="G40" s="120"/>
      <c r="H40" s="92"/>
      <c r="I40" s="92"/>
      <c r="J40" s="117">
        <v>5.6</v>
      </c>
      <c r="K40" s="25">
        <v>6.13</v>
      </c>
      <c r="L40" s="25">
        <v>6.13</v>
      </c>
      <c r="M40" s="25">
        <v>6.64</v>
      </c>
      <c r="N40" s="25">
        <v>7.67</v>
      </c>
      <c r="O40" s="38">
        <v>5.57</v>
      </c>
      <c r="P40" s="45"/>
      <c r="Q40" s="22">
        <v>54</v>
      </c>
      <c r="R40" s="25">
        <v>1.86</v>
      </c>
      <c r="S40" s="32">
        <v>1.7</v>
      </c>
      <c r="T40" s="33">
        <v>1.54</v>
      </c>
      <c r="U40" s="45"/>
      <c r="V40" s="22">
        <v>54</v>
      </c>
      <c r="W40" s="36">
        <v>0.95</v>
      </c>
      <c r="X40" s="113"/>
    </row>
    <row r="41" spans="1:24" s="1" customFormat="1" ht="15" thickBot="1">
      <c r="A41" s="84" t="s">
        <v>70</v>
      </c>
      <c r="B41" s="89" t="e">
        <v>#N/A</v>
      </c>
      <c r="C41" s="89" t="e">
        <v>#N/A</v>
      </c>
      <c r="D41" s="105" t="s">
        <v>73</v>
      </c>
      <c r="E41" s="45"/>
      <c r="F41" s="123">
        <v>37</v>
      </c>
      <c r="G41" s="120"/>
      <c r="H41" s="92"/>
      <c r="I41" s="92"/>
      <c r="J41" s="117">
        <v>6.1</v>
      </c>
      <c r="K41" s="25">
        <v>6.55</v>
      </c>
      <c r="L41" s="25">
        <v>6.55</v>
      </c>
      <c r="M41" s="25">
        <v>7.1</v>
      </c>
      <c r="N41" s="25">
        <v>8.19</v>
      </c>
      <c r="O41" s="38">
        <v>5.95</v>
      </c>
      <c r="P41" s="45"/>
      <c r="Q41" s="26">
        <v>55</v>
      </c>
      <c r="R41" s="27">
        <v>1.98</v>
      </c>
      <c r="S41" s="34">
        <v>1.83</v>
      </c>
      <c r="T41" s="35">
        <v>1.67</v>
      </c>
      <c r="U41" s="45"/>
      <c r="V41" s="22">
        <v>55</v>
      </c>
      <c r="W41" s="36">
        <v>1</v>
      </c>
      <c r="X41" s="113"/>
    </row>
    <row r="42" spans="1:24" s="1" customFormat="1">
      <c r="A42" s="84" t="s">
        <v>71</v>
      </c>
      <c r="B42" s="89" t="e">
        <v>#N/A</v>
      </c>
      <c r="C42" s="89" t="e">
        <v>#N/A</v>
      </c>
      <c r="D42" s="105" t="s">
        <v>73</v>
      </c>
      <c r="E42" s="45"/>
      <c r="F42" s="123">
        <v>38</v>
      </c>
      <c r="G42" s="120"/>
      <c r="H42" s="92"/>
      <c r="I42" s="92"/>
      <c r="J42" s="117">
        <v>6.7</v>
      </c>
      <c r="K42" s="25">
        <v>7</v>
      </c>
      <c r="L42" s="25">
        <v>7</v>
      </c>
      <c r="M42" s="25">
        <v>7.58</v>
      </c>
      <c r="N42" s="25">
        <v>8.75</v>
      </c>
      <c r="O42" s="38">
        <v>6.36</v>
      </c>
      <c r="P42" s="45"/>
      <c r="Q42" s="45"/>
      <c r="R42" s="45"/>
      <c r="S42" s="112"/>
      <c r="T42" s="112"/>
      <c r="U42" s="45"/>
      <c r="V42" s="22">
        <v>56</v>
      </c>
      <c r="W42" s="36">
        <v>1.17</v>
      </c>
      <c r="X42" s="113"/>
    </row>
    <row r="43" spans="1:24" s="1" customFormat="1" ht="15" thickBot="1">
      <c r="A43" s="108" t="s">
        <v>72</v>
      </c>
      <c r="B43" s="109" t="e">
        <v>#N/A</v>
      </c>
      <c r="C43" s="109" t="e">
        <v>#N/A</v>
      </c>
      <c r="D43" s="110" t="s">
        <v>73</v>
      </c>
      <c r="E43" s="45"/>
      <c r="F43" s="123">
        <v>39</v>
      </c>
      <c r="G43" s="120"/>
      <c r="H43" s="92"/>
      <c r="I43" s="92"/>
      <c r="J43" s="117">
        <v>7.35</v>
      </c>
      <c r="K43" s="25">
        <v>7.49</v>
      </c>
      <c r="L43" s="25">
        <v>7.49</v>
      </c>
      <c r="M43" s="25">
        <v>8.11</v>
      </c>
      <c r="N43" s="25">
        <v>9.36</v>
      </c>
      <c r="O43" s="38">
        <v>6.81</v>
      </c>
      <c r="P43" s="45"/>
      <c r="Q43" s="45"/>
      <c r="R43" s="45"/>
      <c r="S43" s="112"/>
      <c r="T43" s="112"/>
      <c r="U43" s="45"/>
      <c r="V43" s="22">
        <v>57</v>
      </c>
      <c r="W43" s="36">
        <v>1.35</v>
      </c>
      <c r="X43" s="113"/>
    </row>
    <row r="44" spans="1:24" s="1" customFormat="1">
      <c r="A44" s="45"/>
      <c r="B44" s="45"/>
      <c r="C44" s="45"/>
      <c r="D44" s="45"/>
      <c r="E44" s="45"/>
      <c r="F44" s="123">
        <v>40</v>
      </c>
      <c r="G44" s="120"/>
      <c r="H44" s="92"/>
      <c r="I44" s="92"/>
      <c r="J44" s="117">
        <v>8</v>
      </c>
      <c r="K44" s="25">
        <v>8.0299999999999994</v>
      </c>
      <c r="L44" s="25">
        <v>8.0299999999999994</v>
      </c>
      <c r="M44" s="25">
        <v>8.6999999999999993</v>
      </c>
      <c r="N44" s="25">
        <v>10.039999999999999</v>
      </c>
      <c r="O44" s="38">
        <v>7.3</v>
      </c>
      <c r="P44" s="45"/>
      <c r="Q44" s="45"/>
      <c r="R44" s="45"/>
      <c r="S44" s="112"/>
      <c r="T44" s="112"/>
      <c r="U44" s="45"/>
      <c r="V44" s="22">
        <v>58</v>
      </c>
      <c r="W44" s="36">
        <v>1.52</v>
      </c>
      <c r="X44" s="113"/>
    </row>
    <row r="45" spans="1:24" s="1" customFormat="1">
      <c r="A45" s="45"/>
      <c r="B45" s="45"/>
      <c r="C45" s="45"/>
      <c r="D45" s="45"/>
      <c r="E45" s="45"/>
      <c r="F45" s="123">
        <v>41</v>
      </c>
      <c r="G45" s="120"/>
      <c r="H45" s="92"/>
      <c r="I45" s="92"/>
      <c r="J45" s="117">
        <v>8.6999999999999993</v>
      </c>
      <c r="K45" s="25">
        <v>8.64</v>
      </c>
      <c r="L45" s="25">
        <v>8.64</v>
      </c>
      <c r="M45" s="25">
        <v>9.36</v>
      </c>
      <c r="N45" s="25">
        <v>10.8</v>
      </c>
      <c r="O45" s="38">
        <v>7.85</v>
      </c>
      <c r="P45" s="45"/>
      <c r="Q45" s="45"/>
      <c r="R45" s="45"/>
      <c r="S45" s="112"/>
      <c r="T45" s="112"/>
      <c r="U45" s="45"/>
      <c r="V45" s="22">
        <v>59</v>
      </c>
      <c r="W45" s="36">
        <v>1.69</v>
      </c>
      <c r="X45" s="113"/>
    </row>
    <row r="46" spans="1:24" s="1" customFormat="1">
      <c r="A46" s="45"/>
      <c r="B46" s="45"/>
      <c r="C46" s="45"/>
      <c r="D46" s="45"/>
      <c r="E46" s="45"/>
      <c r="F46" s="123">
        <v>42</v>
      </c>
      <c r="G46" s="120"/>
      <c r="H46" s="92"/>
      <c r="I46" s="92"/>
      <c r="J46" s="117">
        <v>9.4</v>
      </c>
      <c r="K46" s="25">
        <v>9.3000000000000007</v>
      </c>
      <c r="L46" s="25">
        <v>9.3000000000000007</v>
      </c>
      <c r="M46" s="25">
        <v>10.08</v>
      </c>
      <c r="N46" s="25">
        <v>11.63</v>
      </c>
      <c r="O46" s="38">
        <v>8.4499999999999993</v>
      </c>
      <c r="P46" s="45"/>
      <c r="Q46" s="45"/>
      <c r="R46" s="45"/>
      <c r="S46" s="112"/>
      <c r="T46" s="112"/>
      <c r="U46" s="45"/>
      <c r="V46" s="22">
        <v>60</v>
      </c>
      <c r="W46" s="36">
        <v>1.87</v>
      </c>
      <c r="X46" s="113"/>
    </row>
    <row r="47" spans="1:24" s="1" customFormat="1">
      <c r="A47" s="45"/>
      <c r="B47" s="45"/>
      <c r="C47" s="45"/>
      <c r="D47" s="45"/>
      <c r="E47" s="45"/>
      <c r="F47" s="123">
        <v>43</v>
      </c>
      <c r="G47" s="120"/>
      <c r="H47" s="92"/>
      <c r="I47" s="92"/>
      <c r="J47" s="117">
        <v>10.1</v>
      </c>
      <c r="K47" s="25">
        <v>9.99</v>
      </c>
      <c r="L47" s="25">
        <v>9.99</v>
      </c>
      <c r="M47" s="25">
        <v>10.83</v>
      </c>
      <c r="N47" s="25">
        <v>12.5</v>
      </c>
      <c r="O47" s="38">
        <v>9.08</v>
      </c>
      <c r="P47" s="45"/>
      <c r="Q47" s="45"/>
      <c r="R47" s="45"/>
      <c r="S47" s="112"/>
      <c r="T47" s="112"/>
      <c r="U47" s="45"/>
      <c r="V47" s="22">
        <v>61</v>
      </c>
      <c r="W47" s="36">
        <v>2.04</v>
      </c>
      <c r="X47" s="113"/>
    </row>
    <row r="48" spans="1:24" s="1" customFormat="1">
      <c r="A48" s="45"/>
      <c r="B48" s="45"/>
      <c r="C48" s="45"/>
      <c r="D48" s="45"/>
      <c r="E48" s="45"/>
      <c r="F48" s="123">
        <v>44</v>
      </c>
      <c r="G48" s="120"/>
      <c r="H48" s="92"/>
      <c r="I48" s="92"/>
      <c r="J48" s="117">
        <v>10.8</v>
      </c>
      <c r="K48" s="25">
        <v>10.71</v>
      </c>
      <c r="L48" s="25">
        <v>10.71</v>
      </c>
      <c r="M48" s="25">
        <v>11.61</v>
      </c>
      <c r="N48" s="25">
        <v>13.4</v>
      </c>
      <c r="O48" s="38">
        <v>9.74</v>
      </c>
      <c r="P48" s="45"/>
      <c r="Q48" s="45"/>
      <c r="R48" s="45"/>
      <c r="S48" s="112"/>
      <c r="T48" s="112"/>
      <c r="U48" s="45"/>
      <c r="V48" s="22">
        <v>62</v>
      </c>
      <c r="W48" s="36">
        <v>2.21</v>
      </c>
      <c r="X48" s="113"/>
    </row>
    <row r="49" spans="1:24" s="1" customFormat="1">
      <c r="A49" s="45"/>
      <c r="B49" s="45"/>
      <c r="C49" s="45"/>
      <c r="D49" s="45"/>
      <c r="E49" s="45"/>
      <c r="F49" s="123">
        <v>45</v>
      </c>
      <c r="G49" s="120"/>
      <c r="H49" s="92"/>
      <c r="I49" s="92"/>
      <c r="J49" s="117">
        <v>11.55</v>
      </c>
      <c r="K49" s="25">
        <v>11.47</v>
      </c>
      <c r="L49" s="25">
        <v>11.47</v>
      </c>
      <c r="M49" s="25">
        <v>12.43</v>
      </c>
      <c r="N49" s="25">
        <v>14.34</v>
      </c>
      <c r="O49" s="38">
        <v>10.43</v>
      </c>
      <c r="P49" s="45"/>
      <c r="Q49" s="45"/>
      <c r="R49" s="45"/>
      <c r="S49" s="112"/>
      <c r="T49" s="112"/>
      <c r="U49" s="45"/>
      <c r="V49" s="22">
        <v>63</v>
      </c>
      <c r="W49" s="36">
        <v>2.38</v>
      </c>
      <c r="X49" s="113"/>
    </row>
    <row r="50" spans="1:24" s="1" customFormat="1">
      <c r="A50" s="45"/>
      <c r="B50" s="45"/>
      <c r="C50" s="45"/>
      <c r="D50" s="45"/>
      <c r="E50" s="45"/>
      <c r="F50" s="123">
        <v>46</v>
      </c>
      <c r="G50" s="120"/>
      <c r="H50" s="92"/>
      <c r="I50" s="92"/>
      <c r="J50" s="117">
        <v>12.35</v>
      </c>
      <c r="K50" s="25">
        <v>12.25</v>
      </c>
      <c r="L50" s="25">
        <v>12.25</v>
      </c>
      <c r="M50" s="25">
        <v>13.27</v>
      </c>
      <c r="N50" s="25">
        <v>15.32</v>
      </c>
      <c r="O50" s="38">
        <v>11.14</v>
      </c>
      <c r="P50" s="45"/>
      <c r="Q50" s="45"/>
      <c r="R50" s="45"/>
      <c r="S50" s="112"/>
      <c r="T50" s="112"/>
      <c r="U50" s="45"/>
      <c r="V50" s="22">
        <v>64</v>
      </c>
      <c r="W50" s="36">
        <v>2.56</v>
      </c>
      <c r="X50" s="113"/>
    </row>
    <row r="51" spans="1:24" s="1" customFormat="1" ht="15" thickBot="1">
      <c r="A51" s="45"/>
      <c r="B51" s="45"/>
      <c r="C51" s="45"/>
      <c r="D51" s="45"/>
      <c r="E51" s="45"/>
      <c r="F51" s="123">
        <v>47</v>
      </c>
      <c r="G51" s="120"/>
      <c r="H51" s="92"/>
      <c r="I51" s="92"/>
      <c r="J51" s="117">
        <v>13.2</v>
      </c>
      <c r="K51" s="25">
        <v>13.06</v>
      </c>
      <c r="L51" s="25">
        <v>13.06</v>
      </c>
      <c r="M51" s="25">
        <v>14.14</v>
      </c>
      <c r="N51" s="25">
        <v>16.32</v>
      </c>
      <c r="O51" s="38">
        <v>11.87</v>
      </c>
      <c r="P51" s="45"/>
      <c r="Q51" s="45"/>
      <c r="R51" s="45"/>
      <c r="S51" s="112"/>
      <c r="T51" s="112"/>
      <c r="U51" s="45"/>
      <c r="V51" s="26">
        <v>65</v>
      </c>
      <c r="W51" s="37">
        <v>2.73</v>
      </c>
      <c r="X51" s="113"/>
    </row>
    <row r="52" spans="1:24" s="1" customFormat="1">
      <c r="A52" s="45"/>
      <c r="B52" s="45"/>
      <c r="C52" s="45"/>
      <c r="D52" s="45"/>
      <c r="E52" s="45"/>
      <c r="F52" s="123">
        <v>48</v>
      </c>
      <c r="G52" s="120"/>
      <c r="H52" s="92"/>
      <c r="I52" s="92"/>
      <c r="J52" s="117">
        <v>14.1</v>
      </c>
      <c r="K52" s="25">
        <v>13.89</v>
      </c>
      <c r="L52" s="25">
        <v>13.89</v>
      </c>
      <c r="M52" s="25">
        <v>15.05</v>
      </c>
      <c r="N52" s="25">
        <v>17.37</v>
      </c>
      <c r="O52" s="38">
        <v>12.63</v>
      </c>
      <c r="P52" s="45"/>
      <c r="Q52" s="45"/>
      <c r="R52" s="45"/>
      <c r="S52" s="112"/>
      <c r="T52" s="112"/>
      <c r="U52" s="45"/>
      <c r="V52" s="45"/>
      <c r="W52" s="45"/>
      <c r="X52" s="113"/>
    </row>
    <row r="53" spans="1:24" s="1" customFormat="1">
      <c r="A53" s="45"/>
      <c r="B53" s="45"/>
      <c r="C53" s="45"/>
      <c r="D53" s="45"/>
      <c r="E53" s="45"/>
      <c r="F53" s="123">
        <v>49</v>
      </c>
      <c r="G53" s="120"/>
      <c r="H53" s="92"/>
      <c r="I53" s="92"/>
      <c r="J53" s="117">
        <v>15</v>
      </c>
      <c r="K53" s="25">
        <v>14.78</v>
      </c>
      <c r="L53" s="25">
        <v>14.78</v>
      </c>
      <c r="M53" s="25">
        <v>16.02</v>
      </c>
      <c r="N53" s="25">
        <v>18.48</v>
      </c>
      <c r="O53" s="38">
        <v>13.44</v>
      </c>
      <c r="P53" s="45"/>
      <c r="Q53" s="45"/>
      <c r="R53" s="45"/>
      <c r="S53" s="112"/>
      <c r="T53" s="112"/>
      <c r="U53" s="45"/>
      <c r="V53" s="45"/>
      <c r="W53" s="45"/>
      <c r="X53" s="45"/>
    </row>
    <row r="54" spans="1:24" s="1" customFormat="1">
      <c r="A54" s="45"/>
      <c r="B54" s="45"/>
      <c r="C54" s="45"/>
      <c r="D54" s="45"/>
      <c r="E54" s="45"/>
      <c r="F54" s="123">
        <v>50</v>
      </c>
      <c r="G54" s="120"/>
      <c r="H54" s="92"/>
      <c r="I54" s="92"/>
      <c r="J54" s="117">
        <v>16</v>
      </c>
      <c r="K54" s="25">
        <v>15.76</v>
      </c>
      <c r="L54" s="25">
        <v>15.76</v>
      </c>
      <c r="M54" s="25">
        <v>17.07</v>
      </c>
      <c r="N54" s="25">
        <v>19.7</v>
      </c>
      <c r="O54" s="38">
        <v>14.33</v>
      </c>
      <c r="P54" s="45"/>
      <c r="Q54" s="45"/>
      <c r="R54" s="45"/>
      <c r="S54" s="112"/>
      <c r="T54" s="112"/>
      <c r="U54" s="45"/>
      <c r="V54" s="45"/>
      <c r="W54" s="45"/>
      <c r="X54" s="45"/>
    </row>
    <row r="55" spans="1:24" s="1" customFormat="1">
      <c r="A55" s="45"/>
      <c r="B55" s="45"/>
      <c r="C55" s="45"/>
      <c r="D55" s="45"/>
      <c r="E55" s="45"/>
      <c r="F55" s="123">
        <v>51</v>
      </c>
      <c r="G55" s="120"/>
      <c r="H55" s="92"/>
      <c r="I55" s="92"/>
      <c r="J55" s="117">
        <v>17.149999999999999</v>
      </c>
      <c r="K55" s="25">
        <v>16.87</v>
      </c>
      <c r="L55" s="25">
        <v>16.87</v>
      </c>
      <c r="M55" s="25">
        <v>18.28</v>
      </c>
      <c r="N55" s="25">
        <v>21.09</v>
      </c>
      <c r="O55" s="38">
        <v>15.34</v>
      </c>
      <c r="P55" s="45"/>
      <c r="Q55" s="45"/>
      <c r="R55" s="45"/>
      <c r="S55" s="112"/>
      <c r="T55" s="112"/>
      <c r="U55" s="45"/>
      <c r="V55" s="45"/>
      <c r="W55" s="45"/>
      <c r="X55" s="45"/>
    </row>
    <row r="56" spans="1:24" s="1" customFormat="1">
      <c r="A56" s="45"/>
      <c r="B56" s="45"/>
      <c r="C56" s="45"/>
      <c r="D56" s="45"/>
      <c r="E56" s="45"/>
      <c r="F56" s="123">
        <v>52</v>
      </c>
      <c r="G56" s="120"/>
      <c r="H56" s="92"/>
      <c r="I56" s="92"/>
      <c r="J56" s="117">
        <v>18.45</v>
      </c>
      <c r="K56" s="25">
        <v>18.149999999999999</v>
      </c>
      <c r="L56" s="25">
        <v>18.149999999999999</v>
      </c>
      <c r="M56" s="25">
        <v>19.670000000000002</v>
      </c>
      <c r="N56" s="25">
        <v>22.7</v>
      </c>
      <c r="O56" s="38">
        <v>16.5</v>
      </c>
      <c r="P56" s="45"/>
      <c r="Q56" s="45"/>
      <c r="R56" s="45"/>
      <c r="S56" s="112"/>
      <c r="T56" s="112"/>
      <c r="U56" s="45"/>
      <c r="V56" s="45"/>
      <c r="W56" s="45"/>
      <c r="X56" s="45"/>
    </row>
    <row r="57" spans="1:24" s="1" customFormat="1">
      <c r="A57" s="45"/>
      <c r="B57" s="45"/>
      <c r="C57" s="45"/>
      <c r="D57" s="45"/>
      <c r="E57" s="45"/>
      <c r="F57" s="123">
        <v>53</v>
      </c>
      <c r="G57" s="120"/>
      <c r="H57" s="92"/>
      <c r="I57" s="92"/>
      <c r="J57" s="117">
        <v>19.899999999999999</v>
      </c>
      <c r="K57" s="25">
        <v>19.59</v>
      </c>
      <c r="L57" s="25">
        <v>19.59</v>
      </c>
      <c r="M57" s="25">
        <v>21.23</v>
      </c>
      <c r="N57" s="25">
        <v>24.5</v>
      </c>
      <c r="O57" s="38">
        <v>17.809999999999999</v>
      </c>
      <c r="P57" s="45"/>
      <c r="Q57" s="45"/>
      <c r="R57" s="45"/>
      <c r="S57" s="112"/>
      <c r="T57" s="112"/>
      <c r="U57" s="45"/>
      <c r="V57" s="45"/>
      <c r="W57" s="45"/>
      <c r="X57" s="45"/>
    </row>
    <row r="58" spans="1:24" s="1" customFormat="1">
      <c r="A58" s="45"/>
      <c r="B58" s="45"/>
      <c r="C58" s="45"/>
      <c r="D58" s="45"/>
      <c r="E58" s="45"/>
      <c r="F58" s="123">
        <v>54</v>
      </c>
      <c r="G58" s="120"/>
      <c r="H58" s="92"/>
      <c r="I58" s="92"/>
      <c r="J58" s="117">
        <v>21.45</v>
      </c>
      <c r="K58" s="25">
        <v>21.2</v>
      </c>
      <c r="L58" s="25">
        <v>21.2</v>
      </c>
      <c r="M58" s="25">
        <v>22.97</v>
      </c>
      <c r="N58" s="25">
        <v>26.51</v>
      </c>
      <c r="O58" s="38">
        <v>19.27</v>
      </c>
      <c r="P58" s="45"/>
      <c r="Q58" s="45"/>
      <c r="R58" s="45"/>
      <c r="S58" s="112"/>
      <c r="T58" s="112"/>
      <c r="U58" s="45"/>
      <c r="V58" s="45"/>
      <c r="W58" s="45"/>
      <c r="X58" s="45"/>
    </row>
    <row r="59" spans="1:24" s="1" customFormat="1">
      <c r="A59" s="45"/>
      <c r="B59" s="45"/>
      <c r="C59" s="45"/>
      <c r="D59" s="45"/>
      <c r="E59" s="45"/>
      <c r="F59" s="123">
        <v>55</v>
      </c>
      <c r="G59" s="120"/>
      <c r="H59" s="92"/>
      <c r="I59" s="92"/>
      <c r="J59" s="117">
        <v>23</v>
      </c>
      <c r="K59" s="25">
        <v>22.92</v>
      </c>
      <c r="L59" s="25">
        <v>22.92</v>
      </c>
      <c r="M59" s="25">
        <v>24.83</v>
      </c>
      <c r="N59" s="25">
        <v>28.65</v>
      </c>
      <c r="O59" s="38">
        <v>20.84</v>
      </c>
      <c r="P59" s="45"/>
      <c r="Q59" s="45"/>
      <c r="R59" s="45"/>
      <c r="S59" s="112"/>
      <c r="T59" s="112"/>
      <c r="U59" s="45"/>
      <c r="V59" s="45"/>
      <c r="W59" s="45"/>
      <c r="X59" s="45"/>
    </row>
    <row r="60" spans="1:24" s="1" customFormat="1">
      <c r="A60" s="45"/>
      <c r="B60" s="45"/>
      <c r="C60" s="45"/>
      <c r="D60" s="45"/>
      <c r="E60" s="45"/>
      <c r="F60" s="123">
        <v>56</v>
      </c>
      <c r="G60" s="120"/>
      <c r="H60" s="92"/>
      <c r="I60" s="92"/>
      <c r="J60" s="117">
        <v>24.6</v>
      </c>
      <c r="K60" s="25">
        <v>24.75</v>
      </c>
      <c r="L60" s="25">
        <v>24.75</v>
      </c>
      <c r="M60" s="25">
        <v>26.82</v>
      </c>
      <c r="N60" s="25">
        <v>30.95</v>
      </c>
      <c r="O60" s="38">
        <v>22.5</v>
      </c>
      <c r="P60" s="45"/>
      <c r="Q60" s="45"/>
      <c r="R60" s="45"/>
      <c r="S60" s="112"/>
      <c r="T60" s="112"/>
      <c r="U60" s="45"/>
      <c r="V60" s="45"/>
      <c r="W60" s="45"/>
      <c r="X60" s="45"/>
    </row>
    <row r="61" spans="1:24" s="1" customFormat="1">
      <c r="A61" s="45"/>
      <c r="B61" s="45"/>
      <c r="C61" s="45"/>
      <c r="D61" s="45"/>
      <c r="E61" s="45"/>
      <c r="F61" s="123">
        <v>57</v>
      </c>
      <c r="G61" s="120"/>
      <c r="H61" s="92"/>
      <c r="I61" s="92"/>
      <c r="J61" s="117">
        <v>26.25</v>
      </c>
      <c r="K61" s="25">
        <v>26.64</v>
      </c>
      <c r="L61" s="25">
        <v>26.64</v>
      </c>
      <c r="M61" s="25">
        <v>28.86</v>
      </c>
      <c r="N61" s="25">
        <v>33.299999999999997</v>
      </c>
      <c r="O61" s="38">
        <v>24.22</v>
      </c>
      <c r="P61" s="45"/>
      <c r="Q61" s="45"/>
      <c r="R61" s="45"/>
      <c r="S61" s="112"/>
      <c r="T61" s="112"/>
      <c r="U61" s="45"/>
      <c r="V61" s="45"/>
      <c r="W61" s="45"/>
      <c r="X61" s="45"/>
    </row>
    <row r="62" spans="1:24" s="1" customFormat="1">
      <c r="A62" s="45"/>
      <c r="B62" s="45"/>
      <c r="C62" s="45"/>
      <c r="D62" s="45"/>
      <c r="E62" s="45"/>
      <c r="F62" s="123">
        <v>58</v>
      </c>
      <c r="G62" s="120"/>
      <c r="H62" s="92"/>
      <c r="I62" s="92"/>
      <c r="J62" s="117">
        <v>28</v>
      </c>
      <c r="K62" s="25">
        <v>28.58</v>
      </c>
      <c r="L62" s="25">
        <v>28.58</v>
      </c>
      <c r="M62" s="25">
        <v>30.97</v>
      </c>
      <c r="N62" s="25">
        <v>35.729999999999997</v>
      </c>
      <c r="O62" s="38">
        <v>25.98</v>
      </c>
      <c r="P62" s="45"/>
      <c r="Q62" s="45"/>
      <c r="R62" s="45"/>
      <c r="S62" s="112"/>
      <c r="T62" s="112"/>
      <c r="U62" s="45"/>
      <c r="V62" s="45"/>
      <c r="W62" s="45"/>
      <c r="X62" s="45"/>
    </row>
    <row r="63" spans="1:24" s="1" customFormat="1">
      <c r="A63" s="45"/>
      <c r="B63" s="45"/>
      <c r="C63" s="45"/>
      <c r="D63" s="45"/>
      <c r="E63" s="45"/>
      <c r="F63" s="123">
        <v>59</v>
      </c>
      <c r="G63" s="120"/>
      <c r="H63" s="92"/>
      <c r="I63" s="92"/>
      <c r="J63" s="117">
        <v>29.9</v>
      </c>
      <c r="K63" s="25">
        <v>30.58</v>
      </c>
      <c r="L63" s="25">
        <v>30.58</v>
      </c>
      <c r="M63" s="25">
        <v>33.119999999999997</v>
      </c>
      <c r="N63" s="25">
        <v>38.22</v>
      </c>
      <c r="O63" s="38">
        <v>27.8</v>
      </c>
      <c r="P63" s="45"/>
      <c r="Q63" s="45"/>
      <c r="R63" s="45"/>
      <c r="S63" s="112"/>
      <c r="T63" s="112"/>
      <c r="U63" s="45"/>
      <c r="V63" s="45"/>
      <c r="W63" s="45"/>
      <c r="X63" s="45"/>
    </row>
    <row r="64" spans="1:24" s="1" customFormat="1">
      <c r="A64" s="45"/>
      <c r="B64" s="45"/>
      <c r="C64" s="45"/>
      <c r="D64" s="45"/>
      <c r="E64" s="45"/>
      <c r="F64" s="123">
        <v>60</v>
      </c>
      <c r="G64" s="120"/>
      <c r="H64" s="92"/>
      <c r="I64" s="92"/>
      <c r="J64" s="117">
        <v>32</v>
      </c>
      <c r="K64" s="25">
        <v>32.67</v>
      </c>
      <c r="L64" s="25">
        <v>32.67</v>
      </c>
      <c r="M64" s="25">
        <v>35.4</v>
      </c>
      <c r="N64" s="25">
        <v>40.85</v>
      </c>
      <c r="O64" s="38">
        <v>29.7</v>
      </c>
      <c r="P64" s="45"/>
      <c r="Q64" s="45"/>
      <c r="R64" s="45"/>
      <c r="S64" s="112"/>
      <c r="T64" s="112"/>
      <c r="U64" s="45"/>
      <c r="V64" s="45"/>
      <c r="W64" s="45"/>
      <c r="X64" s="45"/>
    </row>
    <row r="65" spans="1:24" s="1" customFormat="1">
      <c r="A65" s="45"/>
      <c r="B65" s="45"/>
      <c r="C65" s="45"/>
      <c r="D65" s="45"/>
      <c r="E65" s="45"/>
      <c r="F65" s="123">
        <v>61</v>
      </c>
      <c r="G65" s="120"/>
      <c r="H65" s="92"/>
      <c r="I65" s="92"/>
      <c r="J65" s="117">
        <v>34.35</v>
      </c>
      <c r="K65" s="25">
        <v>34.85</v>
      </c>
      <c r="L65" s="25">
        <v>34.85</v>
      </c>
      <c r="M65" s="25">
        <v>37.75</v>
      </c>
      <c r="N65" s="25">
        <v>43.56</v>
      </c>
      <c r="O65" s="38">
        <v>31.68</v>
      </c>
      <c r="P65" s="45"/>
      <c r="Q65" s="45"/>
      <c r="R65" s="45"/>
      <c r="S65" s="112"/>
      <c r="T65" s="112"/>
      <c r="U65" s="45"/>
      <c r="V65" s="45"/>
      <c r="W65" s="45"/>
      <c r="X65" s="45"/>
    </row>
    <row r="66" spans="1:24" s="1" customFormat="1">
      <c r="A66" s="45"/>
      <c r="B66" s="45"/>
      <c r="C66" s="45"/>
      <c r="D66" s="45"/>
      <c r="E66" s="45"/>
      <c r="F66" s="123">
        <v>62</v>
      </c>
      <c r="G66" s="120"/>
      <c r="H66" s="92"/>
      <c r="I66" s="92"/>
      <c r="J66" s="117">
        <v>37</v>
      </c>
      <c r="K66" s="25">
        <v>37.14</v>
      </c>
      <c r="L66" s="25">
        <v>37.14</v>
      </c>
      <c r="M66" s="25">
        <v>40.24</v>
      </c>
      <c r="N66" s="25">
        <v>46.43</v>
      </c>
      <c r="O66" s="38">
        <v>33.76</v>
      </c>
      <c r="P66" s="45"/>
      <c r="Q66" s="45"/>
      <c r="R66" s="45"/>
      <c r="S66" s="112"/>
      <c r="T66" s="112"/>
      <c r="U66" s="45"/>
      <c r="V66" s="45"/>
      <c r="W66" s="45"/>
      <c r="X66" s="45"/>
    </row>
    <row r="67" spans="1:24" s="1" customFormat="1">
      <c r="A67" s="45"/>
      <c r="B67" s="45"/>
      <c r="C67" s="45"/>
      <c r="D67" s="45"/>
      <c r="E67" s="45"/>
      <c r="F67" s="123">
        <v>63</v>
      </c>
      <c r="G67" s="120"/>
      <c r="H67" s="92"/>
      <c r="I67" s="92"/>
      <c r="J67" s="117">
        <v>39.950000000000003</v>
      </c>
      <c r="K67" s="25">
        <v>39.590000000000003</v>
      </c>
      <c r="L67" s="25">
        <v>39.590000000000003</v>
      </c>
      <c r="M67" s="25">
        <v>42.89</v>
      </c>
      <c r="N67" s="25">
        <v>49.49</v>
      </c>
      <c r="O67" s="38">
        <v>35.99</v>
      </c>
      <c r="P67" s="45"/>
      <c r="Q67" s="45"/>
      <c r="R67" s="45"/>
      <c r="S67" s="112"/>
      <c r="T67" s="112"/>
      <c r="U67" s="45"/>
      <c r="V67" s="45"/>
      <c r="W67" s="45"/>
      <c r="X67" s="45"/>
    </row>
    <row r="68" spans="1:24" s="1" customFormat="1">
      <c r="A68" s="45"/>
      <c r="B68" s="45"/>
      <c r="C68" s="45"/>
      <c r="D68" s="45"/>
      <c r="E68" s="45"/>
      <c r="F68" s="123">
        <v>64</v>
      </c>
      <c r="G68" s="120"/>
      <c r="H68" s="92"/>
      <c r="I68" s="92"/>
      <c r="J68" s="117">
        <v>43.3</v>
      </c>
      <c r="K68" s="25">
        <v>42.26</v>
      </c>
      <c r="L68" s="25">
        <v>42.26</v>
      </c>
      <c r="M68" s="25">
        <v>45.79</v>
      </c>
      <c r="N68" s="25">
        <v>52.83</v>
      </c>
      <c r="O68" s="38">
        <v>38.42</v>
      </c>
      <c r="P68" s="45"/>
      <c r="Q68" s="45"/>
      <c r="R68" s="45"/>
      <c r="S68" s="112"/>
      <c r="T68" s="112"/>
      <c r="U68" s="45"/>
      <c r="V68" s="45"/>
      <c r="W68" s="45"/>
      <c r="X68" s="45"/>
    </row>
    <row r="69" spans="1:24" s="1" customFormat="1">
      <c r="A69" s="45"/>
      <c r="B69" s="45"/>
      <c r="C69" s="45"/>
      <c r="D69" s="45"/>
      <c r="E69" s="45"/>
      <c r="F69" s="123">
        <v>65</v>
      </c>
      <c r="G69" s="120"/>
      <c r="H69" s="92"/>
      <c r="I69" s="92"/>
      <c r="J69" s="117">
        <v>47</v>
      </c>
      <c r="K69" s="25">
        <v>45.27</v>
      </c>
      <c r="L69" s="25">
        <v>45.27</v>
      </c>
      <c r="M69" s="25">
        <v>49.05</v>
      </c>
      <c r="N69" s="25">
        <v>56.6</v>
      </c>
      <c r="O69" s="38">
        <v>41.15</v>
      </c>
      <c r="P69" s="45"/>
      <c r="Q69" s="45"/>
      <c r="R69" s="45"/>
      <c r="S69" s="112"/>
      <c r="T69" s="112"/>
      <c r="U69" s="45"/>
      <c r="V69" s="45"/>
      <c r="W69" s="45"/>
      <c r="X69" s="45"/>
    </row>
    <row r="70" spans="1:24" s="1" customFormat="1">
      <c r="A70" s="45"/>
      <c r="B70" s="45"/>
      <c r="C70" s="45"/>
      <c r="D70" s="45"/>
      <c r="E70" s="45"/>
      <c r="F70" s="123">
        <v>66</v>
      </c>
      <c r="G70" s="120"/>
      <c r="H70" s="92"/>
      <c r="I70" s="92"/>
      <c r="J70" s="117">
        <v>51.1</v>
      </c>
      <c r="K70" s="25">
        <v>48.71</v>
      </c>
      <c r="L70" s="25">
        <v>48.71</v>
      </c>
      <c r="M70" s="25">
        <v>52.77</v>
      </c>
      <c r="N70" s="25">
        <v>60.89</v>
      </c>
      <c r="O70" s="38">
        <v>44.28</v>
      </c>
      <c r="P70" s="45"/>
      <c r="Q70" s="45"/>
      <c r="R70" s="45"/>
      <c r="S70" s="112"/>
      <c r="T70" s="112"/>
      <c r="U70" s="45"/>
      <c r="V70" s="45"/>
      <c r="W70" s="45"/>
      <c r="X70" s="45"/>
    </row>
    <row r="71" spans="1:24" s="1" customFormat="1">
      <c r="A71" s="45"/>
      <c r="B71" s="45"/>
      <c r="C71" s="45"/>
      <c r="D71" s="45"/>
      <c r="E71" s="45"/>
      <c r="F71" s="123">
        <v>67</v>
      </c>
      <c r="G71" s="120"/>
      <c r="H71" s="92"/>
      <c r="I71" s="92"/>
      <c r="J71" s="117">
        <v>55.6</v>
      </c>
      <c r="K71" s="25">
        <v>52.7</v>
      </c>
      <c r="L71" s="25">
        <v>52.7</v>
      </c>
      <c r="M71" s="25">
        <v>57.1</v>
      </c>
      <c r="N71" s="25">
        <v>65.88</v>
      </c>
      <c r="O71" s="38">
        <v>47.91</v>
      </c>
      <c r="P71" s="45"/>
      <c r="Q71" s="45"/>
      <c r="R71" s="45"/>
      <c r="S71" s="112"/>
      <c r="T71" s="112"/>
      <c r="U71" s="45"/>
      <c r="V71" s="45"/>
      <c r="W71" s="45"/>
      <c r="X71" s="45"/>
    </row>
    <row r="72" spans="1:24" s="1" customFormat="1">
      <c r="A72" s="45"/>
      <c r="B72" s="45"/>
      <c r="C72" s="45"/>
      <c r="D72" s="45"/>
      <c r="E72" s="45"/>
      <c r="F72" s="123">
        <v>68</v>
      </c>
      <c r="G72" s="120"/>
      <c r="H72" s="92"/>
      <c r="I72" s="92"/>
      <c r="J72" s="117">
        <v>60.55</v>
      </c>
      <c r="K72" s="25">
        <v>57.24</v>
      </c>
      <c r="L72" s="25">
        <v>57.24</v>
      </c>
      <c r="M72" s="25">
        <v>62.01</v>
      </c>
      <c r="N72" s="25">
        <v>71.55</v>
      </c>
      <c r="O72" s="38">
        <v>52.04</v>
      </c>
      <c r="P72" s="45"/>
      <c r="Q72" s="45"/>
      <c r="R72" s="45"/>
      <c r="S72" s="112"/>
      <c r="T72" s="112"/>
      <c r="U72" s="45"/>
      <c r="V72" s="45"/>
      <c r="W72" s="45"/>
      <c r="X72" s="45"/>
    </row>
    <row r="73" spans="1:24" s="1" customFormat="1">
      <c r="A73" s="45"/>
      <c r="B73" s="45"/>
      <c r="C73" s="45"/>
      <c r="D73" s="45"/>
      <c r="E73" s="45"/>
      <c r="F73" s="123">
        <v>69</v>
      </c>
      <c r="G73" s="120"/>
      <c r="H73" s="92"/>
      <c r="I73" s="92"/>
      <c r="J73" s="117">
        <v>66</v>
      </c>
      <c r="K73" s="25">
        <v>62.39</v>
      </c>
      <c r="L73" s="25">
        <v>62.39</v>
      </c>
      <c r="M73" s="25">
        <v>67.59</v>
      </c>
      <c r="N73" s="25">
        <v>77.989999999999995</v>
      </c>
      <c r="O73" s="38">
        <v>56.72</v>
      </c>
      <c r="P73" s="45"/>
      <c r="Q73" s="45"/>
      <c r="R73" s="45"/>
      <c r="S73" s="112"/>
      <c r="T73" s="112"/>
      <c r="U73" s="45"/>
      <c r="V73" s="45"/>
      <c r="W73" s="45"/>
      <c r="X73" s="45"/>
    </row>
    <row r="74" spans="1:24" s="1" customFormat="1" ht="15" thickBot="1">
      <c r="A74" s="45"/>
      <c r="B74" s="45"/>
      <c r="C74" s="45"/>
      <c r="D74" s="45"/>
      <c r="E74" s="45"/>
      <c r="F74" s="124">
        <v>70</v>
      </c>
      <c r="G74" s="121"/>
      <c r="H74" s="97"/>
      <c r="I74" s="97"/>
      <c r="J74" s="118">
        <v>72</v>
      </c>
      <c r="K74" s="27">
        <v>68.2</v>
      </c>
      <c r="L74" s="27">
        <v>68.2</v>
      </c>
      <c r="M74" s="27">
        <v>73.88</v>
      </c>
      <c r="N74" s="27">
        <v>85.25</v>
      </c>
      <c r="O74" s="39">
        <v>62</v>
      </c>
      <c r="P74" s="45"/>
      <c r="Q74" s="45"/>
      <c r="R74" s="45"/>
      <c r="S74" s="112"/>
      <c r="T74" s="112"/>
      <c r="U74" s="45"/>
      <c r="V74" s="45"/>
      <c r="W74" s="45"/>
      <c r="X74" s="45"/>
    </row>
    <row r="75" spans="1:24"/>
  </sheetData>
  <sheetProtection sheet="1" objects="1" scenarios="1"/>
  <mergeCells count="3">
    <mergeCell ref="Q1:T1"/>
    <mergeCell ref="V1:W1"/>
    <mergeCell ref="F1:O1"/>
  </mergeCells>
  <pageMargins left="0.7" right="0.7" top="0.75" bottom="0.75" header="0.3" footer="0.3"/>
  <pageSetup orientation="portrait"/>
  <headerFooter>
    <oddFooter>&amp;L&amp;"museo sans for dell,Bold"&amp;KAAAAAA                 Dell - Critical Handling - Confidential - Privileged</oddFooter>
    <evenFooter>&amp;L&amp;"museo sans for dell,Bold"&amp;KAAAAAA                 Dell - Critical Handling - Confidential - Privileged</evenFooter>
    <firstFooter>&amp;L&amp;"museo sans for dell,Bold"&amp;KAAAAAA                 Dell - Critical Handling - Confidential - Privileged</first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J20"/>
  <sheetViews>
    <sheetView workbookViewId="0">
      <selection activeCell="H6" sqref="H6"/>
    </sheetView>
  </sheetViews>
  <sheetFormatPr baseColWidth="10" defaultColWidth="8.83203125" defaultRowHeight="14" x14ac:dyDescent="0"/>
  <cols>
    <col min="2" max="2" width="13.83203125" bestFit="1" customWidth="1"/>
    <col min="4" max="4" width="16" bestFit="1" customWidth="1"/>
    <col min="6" max="6" width="15.5" bestFit="1" customWidth="1"/>
    <col min="7" max="7" width="14.83203125" bestFit="1" customWidth="1"/>
    <col min="8" max="8" width="10.6640625" bestFit="1" customWidth="1"/>
    <col min="9" max="9" width="7.83203125" bestFit="1" customWidth="1"/>
    <col min="10" max="10" width="10.6640625" style="74" bestFit="1" customWidth="1"/>
  </cols>
  <sheetData>
    <row r="1" spans="1:10">
      <c r="A1" s="150" t="s">
        <v>15</v>
      </c>
      <c r="B1" s="151"/>
      <c r="C1" s="151"/>
      <c r="D1" s="151"/>
      <c r="E1" s="151"/>
      <c r="F1" s="151"/>
      <c r="G1" s="151"/>
      <c r="H1" s="151"/>
      <c r="I1" s="152"/>
      <c r="J1" s="73"/>
    </row>
    <row r="2" spans="1:10">
      <c r="A2" s="67">
        <v>1</v>
      </c>
      <c r="B2" s="67">
        <v>2</v>
      </c>
      <c r="C2" s="67">
        <v>4</v>
      </c>
      <c r="D2" s="67">
        <v>9</v>
      </c>
      <c r="E2" s="67">
        <v>12</v>
      </c>
      <c r="F2" s="67">
        <v>18</v>
      </c>
      <c r="G2" s="67">
        <v>24</v>
      </c>
      <c r="H2" s="68">
        <v>26</v>
      </c>
      <c r="I2" s="67">
        <v>52</v>
      </c>
    </row>
    <row r="3" spans="1:10">
      <c r="A3" s="71" t="s">
        <v>11</v>
      </c>
      <c r="B3" s="71" t="s">
        <v>79</v>
      </c>
      <c r="C3" s="71" t="s">
        <v>16</v>
      </c>
      <c r="D3" s="71" t="s">
        <v>78</v>
      </c>
      <c r="E3" s="71" t="s">
        <v>12</v>
      </c>
      <c r="F3" s="71" t="s">
        <v>80</v>
      </c>
      <c r="G3" s="125" t="s">
        <v>80</v>
      </c>
      <c r="H3" s="71" t="s">
        <v>14</v>
      </c>
      <c r="I3" s="71" t="s">
        <v>25</v>
      </c>
      <c r="J3" s="75"/>
    </row>
    <row r="4" spans="1:10">
      <c r="A4" s="20">
        <v>120</v>
      </c>
      <c r="B4" s="20">
        <v>60</v>
      </c>
      <c r="C4" s="20">
        <v>30</v>
      </c>
      <c r="D4" s="20">
        <v>10</v>
      </c>
      <c r="E4" s="20">
        <v>10</v>
      </c>
      <c r="F4" s="20">
        <v>5</v>
      </c>
      <c r="G4" s="20">
        <v>5</v>
      </c>
      <c r="H4" s="20">
        <v>6</v>
      </c>
      <c r="I4" s="20">
        <v>3</v>
      </c>
    </row>
    <row r="5" spans="1:10">
      <c r="A5" s="20">
        <v>180</v>
      </c>
      <c r="B5" s="20">
        <v>90</v>
      </c>
      <c r="C5" s="20">
        <v>45</v>
      </c>
      <c r="D5" s="20">
        <v>15</v>
      </c>
      <c r="E5" s="20">
        <v>15</v>
      </c>
      <c r="F5" s="21">
        <v>7.5</v>
      </c>
      <c r="G5" s="21">
        <v>7.5</v>
      </c>
      <c r="H5" s="20">
        <v>8</v>
      </c>
      <c r="I5" s="20">
        <v>4</v>
      </c>
    </row>
    <row r="6" spans="1:10">
      <c r="A6" s="20">
        <v>240</v>
      </c>
      <c r="B6" s="20">
        <v>120</v>
      </c>
      <c r="C6" s="20">
        <v>60</v>
      </c>
      <c r="D6" s="20">
        <v>20</v>
      </c>
      <c r="E6" s="20">
        <v>20</v>
      </c>
      <c r="F6" s="20">
        <v>10</v>
      </c>
      <c r="G6" s="20">
        <v>10</v>
      </c>
      <c r="H6" s="20">
        <v>10</v>
      </c>
      <c r="I6" s="20">
        <v>5</v>
      </c>
    </row>
    <row r="7" spans="1:10">
      <c r="A7" s="20">
        <v>300</v>
      </c>
      <c r="B7" s="20">
        <v>150</v>
      </c>
      <c r="C7" s="20">
        <v>75</v>
      </c>
      <c r="D7" s="20">
        <v>25</v>
      </c>
      <c r="E7" s="20">
        <v>25</v>
      </c>
      <c r="F7" s="21">
        <v>12.5</v>
      </c>
      <c r="G7" s="21">
        <v>12.5</v>
      </c>
      <c r="H7" s="20">
        <v>12</v>
      </c>
      <c r="I7" s="20">
        <v>6</v>
      </c>
    </row>
    <row r="8" spans="1:10">
      <c r="A8" s="20">
        <v>360</v>
      </c>
      <c r="B8" s="20">
        <v>180</v>
      </c>
      <c r="C8" s="20">
        <v>90</v>
      </c>
      <c r="D8" s="20">
        <v>30</v>
      </c>
      <c r="E8" s="20">
        <v>30</v>
      </c>
      <c r="F8" s="20">
        <v>15</v>
      </c>
      <c r="G8" s="20">
        <v>15</v>
      </c>
      <c r="H8" s="20">
        <v>14</v>
      </c>
      <c r="I8" s="20">
        <v>7</v>
      </c>
    </row>
    <row r="9" spans="1:10">
      <c r="A9" s="20">
        <v>420</v>
      </c>
      <c r="B9" s="20">
        <v>210</v>
      </c>
      <c r="C9" s="20">
        <v>105</v>
      </c>
      <c r="D9" s="20">
        <v>35</v>
      </c>
      <c r="E9" s="20">
        <v>35</v>
      </c>
      <c r="F9" s="21">
        <v>17.5</v>
      </c>
      <c r="G9" s="21">
        <v>17.5</v>
      </c>
      <c r="H9" s="20">
        <v>16</v>
      </c>
      <c r="I9" s="20">
        <v>8</v>
      </c>
    </row>
    <row r="10" spans="1:10">
      <c r="A10" s="20">
        <v>480</v>
      </c>
      <c r="B10" s="20">
        <v>240</v>
      </c>
      <c r="C10" s="20">
        <v>120</v>
      </c>
      <c r="D10" s="20">
        <v>40</v>
      </c>
      <c r="E10" s="20">
        <v>40</v>
      </c>
      <c r="F10" s="20">
        <v>20</v>
      </c>
      <c r="G10" s="20">
        <v>20</v>
      </c>
      <c r="H10" s="20">
        <v>18</v>
      </c>
      <c r="I10" s="20">
        <v>9</v>
      </c>
    </row>
    <row r="11" spans="1:10">
      <c r="A11" s="20">
        <v>540</v>
      </c>
      <c r="B11" s="20">
        <v>270</v>
      </c>
      <c r="C11" s="20">
        <v>135</v>
      </c>
      <c r="D11" s="20">
        <v>45</v>
      </c>
      <c r="E11" s="20">
        <v>45</v>
      </c>
      <c r="F11" s="21">
        <v>22.5</v>
      </c>
      <c r="G11" s="21">
        <v>22.5</v>
      </c>
      <c r="H11" s="20">
        <v>20</v>
      </c>
      <c r="I11" s="20">
        <v>10</v>
      </c>
    </row>
    <row r="12" spans="1:10">
      <c r="A12" s="20">
        <v>600</v>
      </c>
      <c r="B12" s="20">
        <v>300</v>
      </c>
      <c r="C12" s="20">
        <v>150</v>
      </c>
      <c r="D12" s="20">
        <v>50</v>
      </c>
      <c r="E12" s="20">
        <v>50</v>
      </c>
      <c r="F12" s="20">
        <v>25</v>
      </c>
      <c r="G12" s="20">
        <v>25</v>
      </c>
      <c r="H12" s="69"/>
      <c r="I12" s="69"/>
    </row>
    <row r="13" spans="1:10">
      <c r="A13" s="20" t="s">
        <v>17</v>
      </c>
      <c r="B13" s="20" t="s">
        <v>17</v>
      </c>
      <c r="C13" s="20" t="s">
        <v>17</v>
      </c>
      <c r="D13" s="20"/>
      <c r="E13" s="19"/>
      <c r="F13" s="19"/>
      <c r="G13" s="19"/>
      <c r="H13" s="69"/>
      <c r="I13" s="69"/>
    </row>
    <row r="14" spans="1:10">
      <c r="A14" s="20" t="s">
        <v>17</v>
      </c>
      <c r="B14" s="20" t="s">
        <v>17</v>
      </c>
      <c r="C14" s="20" t="s">
        <v>17</v>
      </c>
      <c r="D14" s="20"/>
      <c r="E14" s="19"/>
      <c r="F14" s="19"/>
      <c r="G14" s="19"/>
      <c r="H14" s="69"/>
      <c r="I14" s="69"/>
    </row>
    <row r="15" spans="1:10">
      <c r="A15" s="20" t="s">
        <v>17</v>
      </c>
      <c r="B15" s="20" t="s">
        <v>17</v>
      </c>
      <c r="C15" s="20" t="s">
        <v>17</v>
      </c>
      <c r="D15" s="20"/>
      <c r="E15" s="19"/>
      <c r="F15" s="19"/>
      <c r="G15" s="19"/>
      <c r="H15" s="69"/>
      <c r="I15" s="69"/>
    </row>
    <row r="16" spans="1:10">
      <c r="A16" s="20" t="s">
        <v>17</v>
      </c>
      <c r="B16" s="20" t="s">
        <v>17</v>
      </c>
      <c r="C16" s="20" t="s">
        <v>17</v>
      </c>
      <c r="D16" s="20"/>
      <c r="E16" s="19"/>
      <c r="F16" s="19"/>
      <c r="G16" s="19"/>
      <c r="H16" s="69"/>
      <c r="I16" s="69"/>
    </row>
    <row r="17" spans="1:9">
      <c r="A17" s="20" t="s">
        <v>17</v>
      </c>
      <c r="B17" s="20" t="s">
        <v>17</v>
      </c>
      <c r="C17" s="20" t="s">
        <v>17</v>
      </c>
      <c r="D17" s="20"/>
      <c r="E17" s="19"/>
      <c r="F17" s="19"/>
      <c r="G17" s="19"/>
      <c r="H17" s="69"/>
      <c r="I17" s="69"/>
    </row>
    <row r="18" spans="1:9">
      <c r="A18" s="20" t="s">
        <v>17</v>
      </c>
      <c r="B18" s="20" t="s">
        <v>17</v>
      </c>
      <c r="C18" s="20" t="s">
        <v>17</v>
      </c>
      <c r="D18" s="20"/>
      <c r="E18" s="19"/>
      <c r="F18" s="19"/>
      <c r="G18" s="19"/>
      <c r="H18" s="69"/>
      <c r="I18" s="69"/>
    </row>
    <row r="19" spans="1:9">
      <c r="A19" s="20" t="s">
        <v>17</v>
      </c>
      <c r="B19" s="20" t="s">
        <v>17</v>
      </c>
      <c r="C19" s="20" t="s">
        <v>17</v>
      </c>
      <c r="D19" s="20"/>
      <c r="E19" s="69"/>
      <c r="F19" s="69"/>
      <c r="G19" s="69"/>
      <c r="H19" s="69"/>
      <c r="I19" s="69"/>
    </row>
    <row r="20" spans="1:9">
      <c r="A20" s="70" t="s">
        <v>17</v>
      </c>
      <c r="B20" s="70" t="s">
        <v>17</v>
      </c>
      <c r="C20" s="70" t="s">
        <v>17</v>
      </c>
      <c r="D20" s="70"/>
      <c r="E20" s="72"/>
      <c r="F20" s="72"/>
      <c r="G20" s="72"/>
      <c r="H20" s="72"/>
      <c r="I20" s="72"/>
    </row>
  </sheetData>
  <mergeCells count="1">
    <mergeCell ref="A1:I1"/>
  </mergeCells>
  <pageMargins left="0.7" right="0.7" top="0.75" bottom="0.75" header="0.3" footer="0.3"/>
  <pageSetup orientation="portrait"/>
  <headerFooter>
    <oddFooter>&amp;L&amp;"museo sans for dell,Bold"&amp;KAAAAAA                 Dell - Critical Handling - Confidential - Privileged</oddFooter>
    <evenFooter>&amp;L&amp;"museo sans for dell,Bold"&amp;KAAAAAA                 Dell - Critical Handling - Confidential - Privileged</evenFooter>
    <firstFooter>&amp;L&amp;"museo sans for dell,Bold"&amp;KAAAAAA                 Dell - Critical Handling - Confidential - Privileged</first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LifeSys Modal Premium Table</vt:lpstr>
      <vt:lpstr>LifeSys Face Amount Table</vt:lpstr>
      <vt:lpstr>Premium Calculator</vt:lpstr>
      <vt:lpstr>Face Calculator</vt:lpstr>
      <vt:lpstr>Rates</vt:lpstr>
      <vt:lpstr>Premium Levels</vt:lpstr>
    </vt:vector>
  </TitlesOfParts>
  <Company>Dell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Kinney, Sara</dc:creator>
  <cp:keywords>Minimum Restrictions,, Critical Handling</cp:keywords>
  <cp:lastModifiedBy>Bill Davis</cp:lastModifiedBy>
  <dcterms:created xsi:type="dcterms:W3CDTF">2013-09-16T15:02:22Z</dcterms:created>
  <dcterms:modified xsi:type="dcterms:W3CDTF">2015-12-02T18:22:52Z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724f9e1c-e556-46f6-b8dd-5db577b07885</vt:lpwstr>
  </property>
  <property fmtid="{D5CDD505-2E9C-101B-9397-08002B2CF9AE}" pid="3" name="TitusConfigVer">
    <vt:lpwstr>1.0AMER</vt:lpwstr>
  </property>
  <property fmtid="{D5CDD505-2E9C-101B-9397-08002B2CF9AE}" pid="4" name="DellClassification">
    <vt:lpwstr>Critical Handling</vt:lpwstr>
  </property>
  <property fmtid="{D5CDD505-2E9C-101B-9397-08002B2CF9AE}" pid="5" name="DellSubLabels">
    <vt:lpwstr>Privileged</vt:lpwstr>
  </property>
  <property fmtid="{D5CDD505-2E9C-101B-9397-08002B2CF9AE}" pid="6" name="DellVisual Markings">
    <vt:lpwstr>Classification Footer</vt:lpwstr>
  </property>
  <property fmtid="{D5CDD505-2E9C-101B-9397-08002B2CF9AE}" pid="7" name="titusconfig">
    <vt:lpwstr>1.1AMER</vt:lpwstr>
  </property>
</Properties>
</file>